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270" windowWidth="6780" windowHeight="4215" activeTab="5"/>
  </bookViews>
  <sheets>
    <sheet name="work" sheetId="7" r:id="rId1"/>
    <sheet name="Temp1" sheetId="3" r:id="rId2"/>
    <sheet name="Temp2" sheetId="4" r:id="rId3"/>
    <sheet name="Temp3" sheetId="5" r:id="rId4"/>
    <sheet name="Temp4" sheetId="6" r:id="rId5"/>
    <sheet name="Template" sheetId="2" r:id="rId6"/>
  </sheets>
  <functionGroups builtInGroupCount="17"/>
  <definedNames>
    <definedName name="_xlnm._FilterDatabase" localSheetId="0" hidden="1">work!$A$1:$I$1707</definedName>
    <definedName name="zc3a_4137.djhtm" localSheetId="3">Temp3!$A$1:$I$99</definedName>
    <definedName name="zca_4137.djhtm" localSheetId="1">Temp1!$A$1:$I$38</definedName>
    <definedName name="zcc_4137.djhtm" localSheetId="4">Temp4!$A$1:$I$32</definedName>
    <definedName name="zcqa_4137.djhtm" localSheetId="2">Temp2!$A$1:$I$110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2" i="2"/>
  <c r="D3" i="2"/>
  <c r="D4" i="2"/>
  <c r="D5" i="2"/>
  <c r="D6" i="2"/>
  <c r="D2" i="2"/>
  <c r="D8" i="2" l="1"/>
  <c r="B27" i="2"/>
  <c r="C27" i="2" s="1"/>
  <c r="D27" i="2" s="1"/>
  <c r="E27" i="2" s="1"/>
  <c r="G27" i="2" s="1"/>
  <c r="H27" i="2" s="1"/>
  <c r="I27" i="2" s="1"/>
  <c r="J27" i="2" s="1"/>
  <c r="K27" i="2" s="1"/>
  <c r="L27" i="2" s="1"/>
  <c r="B26" i="2"/>
  <c r="C26" i="2" s="1"/>
  <c r="D26" i="2" s="1"/>
  <c r="E26" i="2" s="1"/>
  <c r="G26" i="2" s="1"/>
  <c r="H26" i="2" s="1"/>
  <c r="I26" i="2" s="1"/>
  <c r="J26" i="2" s="1"/>
  <c r="K26" i="2" s="1"/>
  <c r="L26" i="2" s="1"/>
  <c r="B25" i="2"/>
  <c r="C25" i="2" s="1"/>
  <c r="D25" i="2" s="1"/>
  <c r="E25" i="2" s="1"/>
  <c r="G25" i="2" s="1"/>
  <c r="H25" i="2" s="1"/>
  <c r="I25" i="2" s="1"/>
  <c r="J25" i="2" s="1"/>
  <c r="K25" i="2" s="1"/>
  <c r="L25" i="2" s="1"/>
  <c r="B21" i="2"/>
  <c r="C21" i="2" s="1"/>
  <c r="D21" i="2" s="1"/>
  <c r="E21" i="2" s="1"/>
  <c r="G21" i="2" s="1"/>
  <c r="H21" i="2" s="1"/>
  <c r="I21" i="2" s="1"/>
  <c r="J21" i="2" s="1"/>
  <c r="K21" i="2" s="1"/>
  <c r="L21" i="2" s="1"/>
  <c r="B20" i="2"/>
  <c r="C11" i="2"/>
  <c r="G7" i="2" l="1"/>
  <c r="G8" i="2" s="1"/>
  <c r="B4" i="2" s="1"/>
  <c r="B22" i="2"/>
  <c r="C20" i="2"/>
  <c r="D20" i="2" s="1"/>
  <c r="E20" i="2" s="1"/>
  <c r="G20" i="2" s="1"/>
  <c r="H20" i="2" s="1"/>
  <c r="I20" i="2" s="1"/>
  <c r="J20" i="2" s="1"/>
  <c r="K20" i="2" s="1"/>
  <c r="L20" i="2" s="1"/>
  <c r="L38" i="2" l="1"/>
  <c r="C22" i="2"/>
  <c r="I38" i="2"/>
  <c r="D22" i="2"/>
  <c r="C37" i="2"/>
  <c r="G37" i="2"/>
  <c r="D36" i="2"/>
  <c r="L37" i="2"/>
  <c r="J36" i="2"/>
  <c r="E38" i="2"/>
  <c r="C36" i="2"/>
  <c r="I36" i="2"/>
  <c r="H37" i="2"/>
  <c r="D38" i="2"/>
  <c r="E36" i="2"/>
  <c r="B37" i="2"/>
  <c r="K37" i="2"/>
  <c r="J38" i="2"/>
  <c r="B36" i="2"/>
  <c r="G36" i="2"/>
  <c r="K36" i="2"/>
  <c r="E37" i="2"/>
  <c r="J37" i="2"/>
  <c r="B38" i="2"/>
  <c r="G38" i="2"/>
  <c r="K38" i="2"/>
  <c r="H36" i="2"/>
  <c r="L36" i="2"/>
  <c r="D37" i="2"/>
  <c r="I37" i="2"/>
  <c r="C38" i="2"/>
  <c r="H38" i="2"/>
  <c r="E22" i="2"/>
  <c r="M36" i="2" l="1"/>
  <c r="M38" i="2"/>
  <c r="M37" i="2"/>
  <c r="G22" i="2"/>
  <c r="H22" i="2" l="1"/>
  <c r="I22" i="2" l="1"/>
  <c r="J22" i="2" l="1"/>
  <c r="L22" i="2" l="1"/>
  <c r="B30" i="2" s="1"/>
  <c r="K22" i="2"/>
  <c r="B16" i="2" l="1"/>
  <c r="B15" i="2"/>
  <c r="B33" i="2"/>
  <c r="B31" i="2"/>
  <c r="B32" i="2"/>
  <c r="B14" i="2"/>
  <c r="C15" i="2" l="1"/>
  <c r="B42" i="2"/>
  <c r="B43" i="2"/>
  <c r="C16" i="2"/>
  <c r="B41" i="2"/>
  <c r="C14" i="2"/>
</calcChain>
</file>

<file path=xl/connections.xml><?xml version="1.0" encoding="utf-8"?>
<connections xmlns="http://schemas.openxmlformats.org/spreadsheetml/2006/main">
  <connection id="1" name="連線" type="4" refreshedVersion="4" background="1" saveData="1">
    <webPr sourceData="1" parsePre="1" consecutive="1" xl2000="1" url="http://jdata.yuanta.com.tw/z/zc/zca/zca_2340.djhtm" htmlTables="1">
      <tables count="1">
        <x v="3"/>
      </tables>
    </webPr>
  </connection>
  <connection id="2" name="連線1" type="4" refreshedVersion="4" background="1" saveData="1">
    <webPr sourceData="1" parsePre="1" consecutive="1" xl2000="1" url="http://jdata.yuanta.com.tw/z/zc/zc3/zc3a_2340.djhtm" htmlTables="1">
      <tables count="1">
        <s v="oMainTable"/>
      </tables>
    </webPr>
  </connection>
  <connection id="3" name="連線2" type="4" refreshedVersion="4" background="1" saveData="1">
    <webPr sourceData="1" parsePre="1" consecutive="1" xl2000="1" url="http://jdata.yuanta.com.tw/z/zc/zcq/zcqa_2340.djhtm" htmlTables="1">
      <tables count="1">
        <s v="oMainTable"/>
      </tables>
    </webPr>
  </connection>
  <connection id="4" name="連線3" type="4" refreshedVersion="4" background="1" saveData="1">
    <webPr sourceData="1" parsePre="1" consecutive="1" xl2000="1" url="http://jdata.yuanta.com.tw/z/zc/zcc/zcc_2340.djhtm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<sst xmlns="http://schemas.openxmlformats.org/spreadsheetml/2006/main" count="619" uniqueCount="375">
  <si>
    <r>
      <rPr>
        <sz val="11"/>
        <color theme="1"/>
        <rFont val="新細明體"/>
        <family val="2"/>
        <charset val="136"/>
      </rPr>
      <t>近</t>
    </r>
    <r>
      <rPr>
        <sz val="11"/>
        <color theme="1"/>
        <rFont val="Calibri Light"/>
        <family val="2"/>
      </rPr>
      <t>5</t>
    </r>
    <r>
      <rPr>
        <sz val="11"/>
        <color theme="1"/>
        <rFont val="新細明體"/>
        <family val="2"/>
        <charset val="136"/>
      </rPr>
      <t>年稅後淨利成長率平均</t>
    </r>
    <phoneticPr fontId="1" type="noConversion"/>
  </si>
  <si>
    <r>
      <rPr>
        <sz val="11"/>
        <color theme="1"/>
        <rFont val="新細明體"/>
        <family val="2"/>
        <charset val="136"/>
      </rPr>
      <t>近</t>
    </r>
    <r>
      <rPr>
        <sz val="11"/>
        <color theme="1"/>
        <rFont val="Calibri Light"/>
        <family val="2"/>
      </rPr>
      <t>5</t>
    </r>
    <r>
      <rPr>
        <sz val="11"/>
        <color theme="1"/>
        <rFont val="新細明體"/>
        <family val="2"/>
        <charset val="136"/>
      </rPr>
      <t>年股票購回率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流通股數減少比率</t>
    </r>
    <r>
      <rPr>
        <sz val="11"/>
        <color theme="1"/>
        <rFont val="Calibri Light"/>
        <family val="2"/>
      </rPr>
      <t>)</t>
    </r>
    <r>
      <rPr>
        <sz val="11"/>
        <color theme="1"/>
        <rFont val="新細明體"/>
        <family val="2"/>
        <charset val="136"/>
      </rPr>
      <t>平均</t>
    </r>
    <phoneticPr fontId="1" type="noConversion"/>
  </si>
  <si>
    <r>
      <rPr>
        <sz val="11"/>
        <color theme="1"/>
        <rFont val="新細明體"/>
        <family val="2"/>
        <charset val="136"/>
      </rPr>
      <t>近</t>
    </r>
    <r>
      <rPr>
        <sz val="11"/>
        <color theme="1"/>
        <rFont val="Calibri Light"/>
        <family val="2"/>
      </rPr>
      <t>5</t>
    </r>
    <r>
      <rPr>
        <sz val="11"/>
        <color theme="1"/>
        <rFont val="新細明體"/>
        <family val="2"/>
        <charset val="136"/>
      </rPr>
      <t>年股息配發率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股息</t>
    </r>
    <r>
      <rPr>
        <sz val="11"/>
        <color theme="1"/>
        <rFont val="Calibri Light"/>
        <family val="2"/>
      </rPr>
      <t>÷EPS)</t>
    </r>
    <r>
      <rPr>
        <sz val="11"/>
        <color theme="1"/>
        <rFont val="新細明體"/>
        <family val="2"/>
        <charset val="136"/>
      </rPr>
      <t>平均</t>
    </r>
    <phoneticPr fontId="1" type="noConversion"/>
  </si>
  <si>
    <r>
      <rPr>
        <sz val="11"/>
        <color theme="1"/>
        <rFont val="新細明體"/>
        <family val="2"/>
        <charset val="136"/>
      </rPr>
      <t>最近</t>
    </r>
    <r>
      <rPr>
        <sz val="11"/>
        <color theme="1"/>
        <rFont val="Calibri Light"/>
        <family val="2"/>
      </rPr>
      <t>1</t>
    </r>
    <r>
      <rPr>
        <sz val="11"/>
        <color theme="1"/>
        <rFont val="新細明體"/>
        <family val="2"/>
        <charset val="136"/>
      </rPr>
      <t>年度流通股數</t>
    </r>
    <phoneticPr fontId="1" type="noConversion"/>
  </si>
  <si>
    <r>
      <t>DCF</t>
    </r>
    <r>
      <rPr>
        <sz val="11"/>
        <color theme="1"/>
        <rFont val="新細明體"/>
        <family val="2"/>
        <charset val="136"/>
      </rPr>
      <t>計算估值公式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</si>
  <si>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1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</si>
  <si>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2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</si>
  <si>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 xml:space="preserve"> 3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</si>
  <si>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4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</si>
  <si>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5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</si>
  <si>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6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</si>
  <si>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7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</si>
  <si>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8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</si>
  <si>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9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</si>
  <si>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10</t>
    </r>
    <r>
      <rPr>
        <sz val="11"/>
        <color theme="1"/>
        <rFont val="新細明體"/>
        <family val="2"/>
        <charset val="136"/>
      </rPr>
      <t>年</t>
    </r>
    <phoneticPr fontId="1" type="noConversion"/>
  </si>
  <si>
    <r>
      <rPr>
        <sz val="11"/>
        <color theme="1"/>
        <rFont val="新細明體"/>
        <family val="2"/>
        <charset val="136"/>
      </rPr>
      <t>稅後淨利</t>
    </r>
    <phoneticPr fontId="1" type="noConversion"/>
  </si>
  <si>
    <r>
      <rPr>
        <sz val="11"/>
        <color theme="1"/>
        <rFont val="新細明體"/>
        <family val="2"/>
        <charset val="136"/>
      </rPr>
      <t>流通股數</t>
    </r>
    <phoneticPr fontId="1" type="noConversion"/>
  </si>
  <si>
    <r>
      <t>EPS(</t>
    </r>
    <r>
      <rPr>
        <sz val="11"/>
        <color theme="1"/>
        <rFont val="新細明體"/>
        <family val="2"/>
        <charset val="136"/>
      </rPr>
      <t>每股稅後盈餘</t>
    </r>
    <r>
      <rPr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</si>
  <si>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未來報酬率</t>
    </r>
    <r>
      <rPr>
        <sz val="11"/>
        <color theme="1"/>
        <rFont val="Calibri Light"/>
        <family val="2"/>
      </rPr>
      <t>(1+</t>
    </r>
    <r>
      <rPr>
        <sz val="11"/>
        <color theme="1"/>
        <rFont val="新細明體"/>
        <family val="2"/>
        <charset val="136"/>
      </rPr>
      <t>預期報酬率</t>
    </r>
    <r>
      <rPr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</si>
  <si>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便宜價</t>
    </r>
    <phoneticPr fontId="1" type="noConversion"/>
  </si>
  <si>
    <r>
      <rPr>
        <sz val="11"/>
        <color theme="1"/>
        <rFont val="新細明體"/>
        <family val="2"/>
        <charset val="136"/>
      </rPr>
      <t>合理價</t>
    </r>
    <phoneticPr fontId="1" type="noConversion"/>
  </si>
  <si>
    <r>
      <rPr>
        <sz val="11"/>
        <color theme="1"/>
        <rFont val="新細明體"/>
        <family val="2"/>
        <charset val="136"/>
      </rPr>
      <t>昂貴價</t>
    </r>
    <phoneticPr fontId="1" type="noConversion"/>
  </si>
  <si>
    <r>
      <rPr>
        <sz val="11"/>
        <color theme="1"/>
        <rFont val="新細明體"/>
        <family val="2"/>
        <charset val="136"/>
      </rPr>
      <t>出場價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10</t>
    </r>
    <r>
      <rPr>
        <sz val="11"/>
        <color theme="1"/>
        <rFont val="新細明體"/>
        <family val="2"/>
        <charset val="136"/>
      </rPr>
      <t>年</t>
    </r>
    <r>
      <rPr>
        <sz val="11"/>
        <color theme="1"/>
        <rFont val="Calibri Light"/>
        <family val="2"/>
      </rPr>
      <t>EPS×</t>
    </r>
    <r>
      <rPr>
        <sz val="11"/>
        <color theme="1"/>
        <rFont val="新細明體"/>
        <family val="2"/>
        <charset val="136"/>
      </rPr>
      <t>本益比</t>
    </r>
    <r>
      <rPr>
        <sz val="11"/>
        <color theme="1"/>
        <rFont val="Calibri Light"/>
        <family val="2"/>
      </rPr>
      <t>17</t>
    </r>
    <r>
      <rPr>
        <sz val="11"/>
        <color theme="1"/>
        <rFont val="新細明體"/>
        <family val="2"/>
        <charset val="136"/>
      </rPr>
      <t>倍</t>
    </r>
    <r>
      <rPr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</si>
  <si>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加計股息總報酬估算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1</t>
    </r>
    <r>
      <rPr>
        <sz val="11"/>
        <color theme="1"/>
        <rFont val="新細明體"/>
        <family val="2"/>
        <charset val="136"/>
      </rPr>
      <t>年領取股息在未來</t>
    </r>
    <r>
      <rPr>
        <sz val="11"/>
        <color theme="1"/>
        <rFont val="Calibri Light"/>
        <family val="2"/>
      </rPr>
      <t>10</t>
    </r>
    <r>
      <rPr>
        <sz val="11"/>
        <color theme="1"/>
        <rFont val="新細明體"/>
        <family val="2"/>
        <charset val="136"/>
      </rPr>
      <t>年創造收益總和；公式為</t>
    </r>
    <r>
      <rPr>
        <sz val="11"/>
        <color theme="1"/>
        <rFont val="Calibri Light"/>
        <family val="2"/>
      </rPr>
      <t>(EPS×</t>
    </r>
    <r>
      <rPr>
        <sz val="11"/>
        <color theme="1"/>
        <rFont val="新細明體"/>
        <family val="2"/>
        <charset val="136"/>
      </rPr>
      <t>股息配發率</t>
    </r>
    <r>
      <rPr>
        <sz val="11"/>
        <color theme="1"/>
        <rFont val="Calibri Light"/>
        <family val="2"/>
      </rPr>
      <t>)÷</t>
    </r>
    <r>
      <rPr>
        <sz val="11"/>
        <color theme="1"/>
        <rFont val="新細明體"/>
        <family val="2"/>
        <charset val="136"/>
      </rPr>
      <t>未來報酬率</t>
    </r>
    <r>
      <rPr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</si>
  <si>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總和</t>
    </r>
    <phoneticPr fontId="1" type="noConversion"/>
  </si>
  <si>
    <r>
      <rPr>
        <sz val="11"/>
        <color theme="1"/>
        <rFont val="細明體"/>
        <family val="3"/>
        <charset val="136"/>
      </rPr>
      <t>加計股息後股價現值</t>
    </r>
    <r>
      <rPr>
        <sz val="11"/>
        <color theme="1"/>
        <rFont val="Calibri Light"/>
        <family val="2"/>
      </rPr>
      <t>(</t>
    </r>
    <r>
      <rPr>
        <sz val="11"/>
        <color theme="1"/>
        <rFont val="細明體"/>
        <family val="3"/>
        <charset val="136"/>
      </rPr>
      <t>折算後股價現值</t>
    </r>
    <r>
      <rPr>
        <sz val="11"/>
        <color theme="1"/>
        <rFont val="Calibri Light"/>
        <family val="2"/>
      </rPr>
      <t>+10</t>
    </r>
    <r>
      <rPr>
        <sz val="11"/>
        <color theme="1"/>
        <rFont val="細明體"/>
        <family val="3"/>
        <charset val="136"/>
      </rPr>
      <t>年股息總和</t>
    </r>
    <r>
      <rPr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</si>
  <si>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若要追求更明確的評估計算，喬瑟夫再去一一計算形成稅後淨利的各個財務科目在近</t>
    </r>
    <r>
      <rPr>
        <sz val="11"/>
        <color theme="1"/>
        <rFont val="Calibri Light"/>
        <family val="2"/>
      </rPr>
      <t>5</t>
    </r>
    <r>
      <rPr>
        <sz val="11"/>
        <color theme="1"/>
        <rFont val="新細明體"/>
        <family val="2"/>
        <charset val="136"/>
      </rPr>
      <t>年成長率或數字的平均值</t>
    </r>
    <phoneticPr fontId="1" type="noConversion"/>
  </si>
  <si>
    <r>
      <rPr>
        <sz val="11"/>
        <color theme="1"/>
        <rFont val="新細明體"/>
        <family val="2"/>
        <charset val="136"/>
      </rPr>
      <t>最近</t>
    </r>
    <r>
      <rPr>
        <sz val="11"/>
        <color theme="1"/>
        <rFont val="Calibri Light"/>
        <family val="2"/>
      </rPr>
      <t>1</t>
    </r>
    <r>
      <rPr>
        <sz val="11"/>
        <color theme="1"/>
        <rFont val="新細明體"/>
        <family val="2"/>
        <charset val="136"/>
      </rPr>
      <t>年度稅後淨利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元</t>
    </r>
    <r>
      <rPr>
        <sz val="11"/>
        <color theme="1"/>
        <rFont val="Calibri Light"/>
        <family val="2"/>
      </rPr>
      <t>)</t>
    </r>
    <phoneticPr fontId="1" type="noConversion"/>
  </si>
  <si>
    <t>目前股價(元)</t>
    <phoneticPr fontId="1" type="noConversion"/>
  </si>
  <si>
    <t>出場本益比(PE)</t>
    <phoneticPr fontId="1" type="noConversion"/>
  </si>
  <si>
    <t>便宜價買進的預期報酬率</t>
    <phoneticPr fontId="1" type="noConversion"/>
  </si>
  <si>
    <t>合理價買進的預期報酬率</t>
    <phoneticPr fontId="1" type="noConversion"/>
  </si>
  <si>
    <t>昂貴價買進的預期報酬率</t>
    <phoneticPr fontId="1" type="noConversion"/>
  </si>
  <si>
    <t>財務項目</t>
    <phoneticPr fontId="1" type="noConversion"/>
  </si>
  <si>
    <r>
      <rPr>
        <sz val="11"/>
        <color theme="1"/>
        <rFont val="新細明體"/>
        <family val="2"/>
        <charset val="136"/>
      </rPr>
      <t>自設值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請自行評估後填入，其他數值會自動計算</t>
    </r>
    <r>
      <rPr>
        <sz val="11"/>
        <color theme="1"/>
        <rFont val="Calibri Light"/>
        <family val="2"/>
      </rPr>
      <t>)</t>
    </r>
    <phoneticPr fontId="1" type="noConversion"/>
  </si>
  <si>
    <t>含息</t>
    <phoneticPr fontId="1" type="noConversion"/>
  </si>
  <si>
    <r>
      <rPr>
        <b/>
        <sz val="11"/>
        <color rgb="FFC00000"/>
        <rFont val="新細明體"/>
        <family val="1"/>
        <charset val="136"/>
      </rPr>
      <t>便宜價</t>
    </r>
    <phoneticPr fontId="1" type="noConversion"/>
  </si>
  <si>
    <r>
      <rPr>
        <b/>
        <sz val="11"/>
        <color rgb="FFC00000"/>
        <rFont val="新細明體"/>
        <family val="1"/>
        <charset val="136"/>
      </rPr>
      <t>合理價</t>
    </r>
    <phoneticPr fontId="1" type="noConversion"/>
  </si>
  <si>
    <r>
      <rPr>
        <b/>
        <sz val="11"/>
        <color rgb="FFC00000"/>
        <rFont val="新細明體"/>
        <family val="1"/>
        <charset val="136"/>
      </rPr>
      <t>昂貴價</t>
    </r>
    <phoneticPr fontId="1" type="noConversion"/>
  </si>
  <si>
    <r>
      <rPr>
        <sz val="11"/>
        <rFont val="新細明體"/>
        <family val="1"/>
        <charset val="136"/>
      </rPr>
      <t>便宜價</t>
    </r>
    <phoneticPr fontId="1" type="noConversion"/>
  </si>
  <si>
    <r>
      <rPr>
        <sz val="11"/>
        <rFont val="新細明體"/>
        <family val="1"/>
        <charset val="136"/>
      </rPr>
      <t>合理價</t>
    </r>
    <phoneticPr fontId="1" type="noConversion"/>
  </si>
  <si>
    <r>
      <rPr>
        <sz val="11"/>
        <rFont val="新細明體"/>
        <family val="1"/>
        <charset val="136"/>
      </rPr>
      <t>昂貴價</t>
    </r>
    <phoneticPr fontId="1" type="noConversion"/>
  </si>
  <si>
    <r>
      <t>(</t>
    </r>
    <r>
      <rPr>
        <b/>
        <sz val="11"/>
        <color theme="1"/>
        <rFont val="細明體"/>
        <family val="3"/>
        <charset val="136"/>
      </rPr>
      <t>不含息</t>
    </r>
    <r>
      <rPr>
        <b/>
        <sz val="11"/>
        <color theme="1"/>
        <rFont val="Calibri Light"/>
        <family val="2"/>
      </rPr>
      <t>)</t>
    </r>
    <phoneticPr fontId="1" type="noConversion"/>
  </si>
  <si>
    <r>
      <rPr>
        <sz val="11"/>
        <color theme="1"/>
        <rFont val="新細明體"/>
        <family val="2"/>
        <charset val="136"/>
      </rPr>
      <t>折算股價現值</t>
    </r>
    <r>
      <rPr>
        <sz val="11"/>
        <color theme="1"/>
        <rFont val="Calibri Light"/>
        <family val="2"/>
      </rPr>
      <t>(</t>
    </r>
    <r>
      <rPr>
        <sz val="11"/>
        <color theme="1"/>
        <rFont val="新細明體"/>
        <family val="2"/>
        <charset val="136"/>
      </rPr>
      <t>出場價</t>
    </r>
    <r>
      <rPr>
        <sz val="11"/>
        <color theme="1"/>
        <rFont val="Calibri Light"/>
        <family val="2"/>
      </rPr>
      <t>÷</t>
    </r>
    <r>
      <rPr>
        <sz val="11"/>
        <color theme="1"/>
        <rFont val="新細明體"/>
        <family val="2"/>
        <charset val="136"/>
      </rPr>
      <t>第</t>
    </r>
    <r>
      <rPr>
        <sz val="11"/>
        <color theme="1"/>
        <rFont val="Calibri Light"/>
        <family val="2"/>
      </rPr>
      <t>10</t>
    </r>
    <r>
      <rPr>
        <sz val="11"/>
        <color theme="1"/>
        <rFont val="新細明體"/>
        <family val="2"/>
        <charset val="136"/>
      </rPr>
      <t>年累計報酬率</t>
    </r>
    <r>
      <rPr>
        <sz val="11"/>
        <color theme="1"/>
        <rFont val="Calibri Light"/>
        <family val="2"/>
      </rPr>
      <t>)</t>
    </r>
    <phoneticPr fontId="1" type="noConversion"/>
  </si>
  <si>
    <t>試算流程區(根據黃色欄位輸入數值自動計算)</t>
    <phoneticPr fontId="1" type="noConversion"/>
  </si>
  <si>
    <r>
      <t>DCF</t>
    </r>
    <r>
      <rPr>
        <b/>
        <sz val="11"/>
        <rFont val="細明體"/>
        <family val="3"/>
        <charset val="136"/>
      </rPr>
      <t>公式算價結果</t>
    </r>
    <phoneticPr fontId="1" type="noConversion"/>
  </si>
  <si>
    <r>
      <rPr>
        <sz val="11"/>
        <color theme="1"/>
        <rFont val="細明體"/>
        <family val="3"/>
        <charset val="136"/>
      </rPr>
      <t>近五年</t>
    </r>
    <r>
      <rPr>
        <sz val="11"/>
        <color theme="1"/>
        <rFont val="Calibri Light"/>
        <family val="2"/>
      </rPr>
      <t>EPS</t>
    </r>
    <phoneticPr fontId="1" type="noConversion"/>
  </si>
  <si>
    <t>近五年股利</t>
    <phoneticPr fontId="1" type="noConversion"/>
  </si>
  <si>
    <t>開盤價</t>
  </si>
  <si>
    <t>最高價</t>
  </si>
  <si>
    <t>最低價</t>
  </si>
  <si>
    <t>收盤價</t>
  </si>
  <si>
    <t>漲跌</t>
  </si>
  <si>
    <t>一年內最高價</t>
  </si>
  <si>
    <t>一年內最低價</t>
  </si>
  <si>
    <t>本益比</t>
  </si>
  <si>
    <t>一年內最大量</t>
  </si>
  <si>
    <t>一年內最低量</t>
  </si>
  <si>
    <t>成交量</t>
  </si>
  <si>
    <t>同業平均本益比</t>
  </si>
  <si>
    <t>一年來最高本益比</t>
  </si>
  <si>
    <t>一年來最低本益比</t>
  </si>
  <si>
    <t>盤後量</t>
  </si>
  <si>
    <t>殖利率</t>
  </si>
  <si>
    <t>總市值</t>
  </si>
  <si>
    <t>85年來最高總市值</t>
  </si>
  <si>
    <t>85年來最低總市值</t>
  </si>
  <si>
    <t>稅額扣抵率</t>
  </si>
  <si>
    <t>今年以來</t>
  </si>
  <si>
    <t>每股淨值(元)</t>
  </si>
  <si>
    <t>貝他值</t>
  </si>
  <si>
    <t>N/A</t>
  </si>
  <si>
    <t>最近一週</t>
  </si>
  <si>
    <t>每人營收(仟元)</t>
  </si>
  <si>
    <t>標準差</t>
  </si>
  <si>
    <t>最近一個月</t>
  </si>
  <si>
    <t>每股營收(元)</t>
  </si>
  <si>
    <t>最近二個月</t>
  </si>
  <si>
    <t>負債比例</t>
  </si>
  <si>
    <t>最近三個月</t>
  </si>
  <si>
    <t>股價淨值比</t>
  </si>
  <si>
    <t>基本資料</t>
  </si>
  <si>
    <t>前一年度配股</t>
  </si>
  <si>
    <t>公司估</t>
  </si>
  <si>
    <t>股本(億, 台幣)</t>
  </si>
  <si>
    <t>營業毛利率</t>
  </si>
  <si>
    <t>現金股利(元)</t>
  </si>
  <si>
    <t>預估營收(億)</t>
  </si>
  <si>
    <t>成立時間</t>
  </si>
  <si>
    <t>營業利益率</t>
  </si>
  <si>
    <t>股票股利</t>
  </si>
  <si>
    <t>預估稅前盈餘</t>
  </si>
  <si>
    <t>初次上市(櫃)日期</t>
  </si>
  <si>
    <t>稅前淨利率</t>
  </si>
  <si>
    <t>盈餘配股</t>
  </si>
  <si>
    <t>預估稅後盈餘</t>
  </si>
  <si>
    <t>股務代理</t>
  </si>
  <si>
    <t>資產報酬率</t>
  </si>
  <si>
    <t>公積配股</t>
  </si>
  <si>
    <t>預估稅前EPS</t>
  </si>
  <si>
    <t>董事長</t>
  </si>
  <si>
    <t>股東權益報酬率</t>
  </si>
  <si>
    <t>現金增資(億)</t>
  </si>
  <si>
    <t>預估稅後EPS</t>
  </si>
  <si>
    <t>總經理</t>
  </si>
  <si>
    <t>認股率(每仟股)</t>
  </si>
  <si>
    <t>發言人</t>
  </si>
  <si>
    <t>現增溢價</t>
  </si>
  <si>
    <t>營收比重</t>
  </si>
  <si>
    <t>公司電話</t>
  </si>
  <si>
    <t>網址</t>
  </si>
  <si>
    <t>公司地址</t>
  </si>
  <si>
    <t>年度</t>
  </si>
  <si>
    <t>最高總市值</t>
  </si>
  <si>
    <t>最低總市值</t>
  </si>
  <si>
    <t>最高本益比</t>
  </si>
  <si>
    <t>最低本益比</t>
  </si>
  <si>
    <t>現金股利</t>
  </si>
  <si>
    <t>說明</t>
  </si>
  <si>
    <t>本益比數據由交易所提供。</t>
  </si>
  <si>
    <t>計算公式：本益比 = 收盤價∕每股稅後純益，</t>
  </si>
  <si>
    <t>其中每股稅後純益 = 該公司最近四季稅後純益∕發行股數，</t>
  </si>
  <si>
    <t>當每股稅後純益為0或負數時，則不計算本益比。</t>
  </si>
  <si>
    <t>當最高本益比為0，表示該年度曾經有每股稅後純益為0或負數。</t>
  </si>
  <si>
    <t>2016年</t>
  </si>
  <si>
    <t>2015年</t>
  </si>
  <si>
    <t>2014年</t>
  </si>
  <si>
    <t>2013年</t>
  </si>
  <si>
    <r>
      <rPr>
        <b/>
        <sz val="11"/>
        <color rgb="FFC00000"/>
        <rFont val="新細明體"/>
        <family val="2"/>
        <charset val="136"/>
      </rPr>
      <t>今天收盤價</t>
    </r>
    <phoneticPr fontId="1" type="noConversion"/>
  </si>
  <si>
    <t>單位：百萬</t>
  </si>
  <si>
    <t>期別</t>
  </si>
  <si>
    <t>種類</t>
  </si>
  <si>
    <t xml:space="preserve">  稅前淨利－CFO</t>
  </si>
  <si>
    <t xml:space="preserve">  折舊－CFO</t>
  </si>
  <si>
    <t xml:space="preserve">  攤提－CFO</t>
  </si>
  <si>
    <t xml:space="preserve">  預期信用減損損失（利益）－CFO</t>
  </si>
  <si>
    <t xml:space="preserve">  透過損益按公允價值衡量金融資產及負債之淨損失（利益）－</t>
  </si>
  <si>
    <t xml:space="preserve">  除列按攤銷後成本衡量金融資產淨損失（利益）－CFO</t>
  </si>
  <si>
    <t xml:space="preserve">  金融資產重分類淨損失（利益）－CFO</t>
  </si>
  <si>
    <t xml:space="preserve">  存貨跌價損失增加（減少）－CFO</t>
  </si>
  <si>
    <t xml:space="preserve">  利息支出－CFO</t>
  </si>
  <si>
    <t xml:space="preserve">  存貨盤（盈）虧及報廢－CFO</t>
  </si>
  <si>
    <t xml:space="preserve">  利息收入－CFO</t>
  </si>
  <si>
    <t xml:space="preserve">  股利收入－CFO</t>
  </si>
  <si>
    <t xml:space="preserve">  股份基礎給付酬勞成本－CFO</t>
  </si>
  <si>
    <t xml:space="preserve">  採用權益法認列之關聯企業及合資利益份額－CFO</t>
  </si>
  <si>
    <t xml:space="preserve">  採用權益法認列之關聯企業及合資損失份額－CFO</t>
  </si>
  <si>
    <t xml:space="preserve">  處分不動產、廠房及設備收益－CFO</t>
  </si>
  <si>
    <t xml:space="preserve">  處分不動產、廠房及設備損失－CFO</t>
  </si>
  <si>
    <t xml:space="preserve">  處分投資性不動產損失（利益）－CFO</t>
  </si>
  <si>
    <t xml:space="preserve">  處分無形資產損失（利益）－CFO</t>
  </si>
  <si>
    <t xml:space="preserve">  處分投資損失－CFO</t>
  </si>
  <si>
    <t xml:space="preserve">  處分投資利益－CFO</t>
  </si>
  <si>
    <t xml:space="preserve">  金融商品減損損失－CFO</t>
  </si>
  <si>
    <t xml:space="preserve">  金融商品減損迴轉利益－CFO</t>
  </si>
  <si>
    <t xml:space="preserve">  資產減損損失－CFO</t>
  </si>
  <si>
    <t xml:space="preserve">  資產減損迴轉利益－CFO</t>
  </si>
  <si>
    <t xml:space="preserve">  買回公司債損失（利益）－CFO</t>
  </si>
  <si>
    <t xml:space="preserve">  提列各項準備－CFO</t>
  </si>
  <si>
    <t xml:space="preserve">  回轉各項準備－CFO</t>
  </si>
  <si>
    <t xml:space="preserve">  透過損益按公允價值衡量之金融資產（增加）減少－CFO</t>
  </si>
  <si>
    <t xml:space="preserve">  避險之金融資產（增加）減少－CFO</t>
  </si>
  <si>
    <t xml:space="preserve">  合約資產（增加）減少－CFO</t>
  </si>
  <si>
    <t xml:space="preserve">  應收帳款（增加）減少－CFO</t>
  </si>
  <si>
    <t xml:space="preserve">  其他應收帳款（增加）減少－CFO</t>
  </si>
  <si>
    <t xml:space="preserve">  存貨（增加）減少－CFO</t>
  </si>
  <si>
    <t xml:space="preserve">  預付款（增加）減少－CFO</t>
  </si>
  <si>
    <t xml:space="preserve">  生物性資產（增加）減少－CFO</t>
  </si>
  <si>
    <t xml:space="preserve">  其他金融資產（增加）減少－CFO</t>
  </si>
  <si>
    <t xml:space="preserve">  透過損益按公允價值衡量金融負債增加（減少）－CFO</t>
  </si>
  <si>
    <t xml:space="preserve">  避險之金融負債增加（減少）－CFO</t>
  </si>
  <si>
    <t xml:space="preserve">  合約負債增加（減少）－CFO</t>
  </si>
  <si>
    <t xml:space="preserve">  應付帳款增加（減少）－CFO</t>
  </si>
  <si>
    <t xml:space="preserve">  其他應付款增加（減少）－CFO</t>
  </si>
  <si>
    <t xml:space="preserve">  其他金融負債增加（減少）－CFO</t>
  </si>
  <si>
    <t xml:space="preserve">  負債準備增加（減少）CFO－CFO</t>
  </si>
  <si>
    <t xml:space="preserve">  提列員工退休金準備－CFO</t>
  </si>
  <si>
    <t xml:space="preserve">  支付員工退休金－CFO</t>
  </si>
  <si>
    <t xml:space="preserve">  利息收現－CFO</t>
  </si>
  <si>
    <t xml:space="preserve">  收取股利－CFO</t>
  </si>
  <si>
    <t xml:space="preserve">  支付利息－CFO</t>
  </si>
  <si>
    <t xml:space="preserve">  支付股利－CFO</t>
  </si>
  <si>
    <t xml:space="preserve">  退還（支付）所得稅－CFO</t>
  </si>
  <si>
    <t xml:space="preserve">  調整項（出貨）－CFO</t>
  </si>
  <si>
    <t>來自營運之現金流量</t>
  </si>
  <si>
    <t xml:space="preserve">  應收款項增加（減少）－CFI</t>
  </si>
  <si>
    <t xml:space="preserve">  新增投資－CFI</t>
  </si>
  <si>
    <t xml:space="preserve">  出售投資－CFI</t>
  </si>
  <si>
    <t xml:space="preserve">  購置不動產廠房設備（含預付）－CFI</t>
  </si>
  <si>
    <t xml:space="preserve">  處分不動產廠房設備（含預付）－CFI</t>
  </si>
  <si>
    <t xml:space="preserve">  投資性不動產出售（購買）－CFI</t>
  </si>
  <si>
    <t xml:space="preserve">  無形資產（增加）減少－CFI</t>
  </si>
  <si>
    <t xml:space="preserve">  其他金融資產（增加）減少－CFI</t>
  </si>
  <si>
    <t xml:space="preserve">  購併他公司支付現金淨額－CFI</t>
  </si>
  <si>
    <t xml:space="preserve">  取得購併公司現金－CFI</t>
  </si>
  <si>
    <t xml:space="preserve">  處分子公司現金流出－CFF</t>
  </si>
  <si>
    <t xml:space="preserve">  收到利息－CFI</t>
  </si>
  <si>
    <t xml:space="preserve">  收到股利－CFI</t>
  </si>
  <si>
    <t xml:space="preserve">  退還（支付）所得稅－CFI</t>
  </si>
  <si>
    <t xml:space="preserve">  調整項（出貨）－CFI</t>
  </si>
  <si>
    <t>投資活動之現金流量</t>
  </si>
  <si>
    <t xml:space="preserve">  短期借款增加（減少）－CFF</t>
  </si>
  <si>
    <t xml:space="preserve">  應付短期票券增加（減少）－CFF</t>
  </si>
  <si>
    <t xml:space="preserve">  發行公司債－CFF</t>
  </si>
  <si>
    <t xml:space="preserve">  償還公司債－CFF</t>
  </si>
  <si>
    <t xml:space="preserve">  舉借長期借款－CFF</t>
  </si>
  <si>
    <t xml:space="preserve">  償還長期借款－CFF</t>
  </si>
  <si>
    <t xml:space="preserve">  發行特別股負債－CFF</t>
  </si>
  <si>
    <t xml:space="preserve">  償還長特別股負債－CFF</t>
  </si>
  <si>
    <t xml:space="preserve">  庫藏股票減少（增加）－CFF</t>
  </si>
  <si>
    <t xml:space="preserve">  現金增（減）資－CFF</t>
  </si>
  <si>
    <t xml:space="preserve">  行使員工認股權－CFF</t>
  </si>
  <si>
    <t xml:space="preserve">  支付現金股利－CFF</t>
  </si>
  <si>
    <t xml:space="preserve">  透過損益按公允價值衡量之金融負債增加（減少）－CFF</t>
  </si>
  <si>
    <t xml:space="preserve">  按攤銷後成本衡量之金融負債增加（減少）－CFF</t>
  </si>
  <si>
    <t xml:space="preserve">  其他金融負債增加（減少）－CFF</t>
  </si>
  <si>
    <t xml:space="preserve">  非控制權益增加（減少）－CFF</t>
  </si>
  <si>
    <t xml:space="preserve">  取得子公司股權－CFF</t>
  </si>
  <si>
    <t xml:space="preserve">  處分子公司股權－CFF</t>
  </si>
  <si>
    <t xml:space="preserve">  支付利息－CFF</t>
  </si>
  <si>
    <t xml:space="preserve">  退還（支付）所得稅－CFF</t>
  </si>
  <si>
    <t xml:space="preserve">  調整項（出貨）－CFF</t>
  </si>
  <si>
    <t>籌資活動之現金流量</t>
  </si>
  <si>
    <t>匯率影響數</t>
  </si>
  <si>
    <t>本期產生現金流量</t>
  </si>
  <si>
    <t>期初現金及約當現金</t>
  </si>
  <si>
    <t>期末現金及約當現金</t>
  </si>
  <si>
    <t xml:space="preserve"> 營業收入毛額</t>
  </si>
  <si>
    <t>營業收入淨額</t>
  </si>
  <si>
    <t xml:space="preserve"> 銷貨成本</t>
  </si>
  <si>
    <t>營業成本</t>
  </si>
  <si>
    <t>營業毛利</t>
  </si>
  <si>
    <t>聯屬公司已（未）實現銷貨利益</t>
  </si>
  <si>
    <t>已實現銷貨毛利</t>
  </si>
  <si>
    <t>營業費用</t>
  </si>
  <si>
    <t xml:space="preserve"> 推銷費用</t>
  </si>
  <si>
    <t xml:space="preserve"> 管理費用</t>
  </si>
  <si>
    <t xml:space="preserve"> 研究發展費</t>
  </si>
  <si>
    <t xml:space="preserve"> 其他費用</t>
  </si>
  <si>
    <t xml:space="preserve"> 預期信用減損（損失）利益－營業費用</t>
  </si>
  <si>
    <t>其他收益及費損淨額</t>
  </si>
  <si>
    <t>營業利益</t>
  </si>
  <si>
    <t xml:space="preserve"> 利息收入</t>
  </si>
  <si>
    <t xml:space="preserve"> 租金收入</t>
  </si>
  <si>
    <t xml:space="preserve"> 權利金收入</t>
  </si>
  <si>
    <t xml:space="preserve"> 股利收入</t>
  </si>
  <si>
    <t xml:space="preserve"> 廉價購買收益</t>
  </si>
  <si>
    <t xml:space="preserve"> 違約金收入</t>
  </si>
  <si>
    <t xml:space="preserve"> 預期信用減損利益</t>
  </si>
  <si>
    <t xml:space="preserve"> 沖銷逾期應付帳款利益</t>
  </si>
  <si>
    <t xml:space="preserve"> 補助收益</t>
  </si>
  <si>
    <t xml:space="preserve"> 其他收入－其他</t>
  </si>
  <si>
    <t>其他收入</t>
  </si>
  <si>
    <t xml:space="preserve"> 處分不動產、廠房及設備利益</t>
  </si>
  <si>
    <t xml:space="preserve"> 處分投資利益</t>
  </si>
  <si>
    <t xml:space="preserve"> 外幣兌換利益</t>
  </si>
  <si>
    <t xml:space="preserve"> 透過損益按公允價值衡量之金融資產（負債）利益</t>
  </si>
  <si>
    <t xml:space="preserve"> 按攤銷後成本衡量之金融負債利益</t>
  </si>
  <si>
    <t xml:space="preserve"> 避險工具之利益</t>
  </si>
  <si>
    <t xml:space="preserve"> 資產評價利益</t>
  </si>
  <si>
    <t xml:space="preserve"> 金融資產減損迴轉利益</t>
  </si>
  <si>
    <t xml:space="preserve"> 資產減損迴轉利益</t>
  </si>
  <si>
    <t xml:space="preserve"> 賠償收入</t>
  </si>
  <si>
    <t xml:space="preserve"> 買回公司債利益</t>
  </si>
  <si>
    <t xml:space="preserve"> 停工損失</t>
  </si>
  <si>
    <t xml:space="preserve"> 合約損失</t>
  </si>
  <si>
    <t xml:space="preserve"> 賠償損失</t>
  </si>
  <si>
    <t xml:space="preserve"> 處分不動產、廠房及設備損失</t>
  </si>
  <si>
    <t xml:space="preserve"> 處分投資損失</t>
  </si>
  <si>
    <t xml:space="preserve"> 外幣兌換損失</t>
  </si>
  <si>
    <t xml:space="preserve"> 透過損益按公允價值衡量之金融資產（負債）損失</t>
  </si>
  <si>
    <t xml:space="preserve"> 按攤銷後成本衡量之金融負債損失</t>
  </si>
  <si>
    <t xml:space="preserve"> 避險工具之損失</t>
  </si>
  <si>
    <t xml:space="preserve"> 資產評價損失</t>
  </si>
  <si>
    <t xml:space="preserve"> 金融資產減損損失</t>
  </si>
  <si>
    <t xml:space="preserve"> 資產減損損失</t>
  </si>
  <si>
    <t xml:space="preserve"> 買回公司債損失</t>
  </si>
  <si>
    <t xml:space="preserve"> 其他利益及損失－其他</t>
  </si>
  <si>
    <t>其他利益及損失</t>
  </si>
  <si>
    <t xml:space="preserve"> 利息支出</t>
  </si>
  <si>
    <t xml:space="preserve"> 負債性特別股股息</t>
  </si>
  <si>
    <t xml:space="preserve"> 財務成本－其他</t>
  </si>
  <si>
    <t>財務成本</t>
  </si>
  <si>
    <t>採權益法之關聯企業及合資損益之份額</t>
  </si>
  <si>
    <t>預期信用減損（損失）利益</t>
  </si>
  <si>
    <t>除列按攤銷後成本衡量金融資產淨損益</t>
  </si>
  <si>
    <t>金融資產重分類淨損益</t>
  </si>
  <si>
    <t>營業外收入及支出－其他</t>
  </si>
  <si>
    <t>營業外收入及支出</t>
  </si>
  <si>
    <t>稅前淨利</t>
  </si>
  <si>
    <t>所得稅費用</t>
  </si>
  <si>
    <t>繼續營業單位損益</t>
  </si>
  <si>
    <t>停業單位損益</t>
  </si>
  <si>
    <t>合併前非屬共同控制股權損益</t>
  </si>
  <si>
    <t>其他損益調整項－非常項目及累計影響數</t>
  </si>
  <si>
    <t>合併總損益</t>
  </si>
  <si>
    <t xml:space="preserve">  確定福利計畫之再衡量數－不重分類－OCI</t>
  </si>
  <si>
    <t xml:space="preserve">  不動產重估價之利益（損失）－不重分類－OCI</t>
  </si>
  <si>
    <t xml:space="preserve">  指定按公允價值衡量金融負債信用風險變動影響－不重分－</t>
  </si>
  <si>
    <t xml:space="preserve">  待售待分業主非流資（處分群組）直接相關權益－不重分－</t>
  </si>
  <si>
    <t xml:space="preserve">  透過FVOCI衡量權益工具投資未實現評價損益－不重分</t>
  </si>
  <si>
    <t xml:space="preserve">  避險工具之損益－不重分類－OCI</t>
  </si>
  <si>
    <t xml:space="preserve">  採權益法認列關聯企業及合資其他綜合損益份額－不重分－</t>
  </si>
  <si>
    <t xml:space="preserve">  其他綜合損益－其他－不重分類－OCI</t>
  </si>
  <si>
    <t xml:space="preserve">  與其他綜合損益組成部分相關之所得稅－不重分類－OCI</t>
  </si>
  <si>
    <t xml:space="preserve"> 不重分類至損益之項目－OCI</t>
  </si>
  <si>
    <t xml:space="preserve">  國外營運機構財務報表換算之兌換差額－可重分類－OCI</t>
  </si>
  <si>
    <t xml:space="preserve">  待售待分業主非流資（處分群組）直接相關權益－可重分－</t>
  </si>
  <si>
    <t xml:space="preserve">  透FVOCI衡量債務工具投資未實現評價損益－可重分類</t>
  </si>
  <si>
    <t xml:space="preserve">  避險工具之損益－可重分類－OCI</t>
  </si>
  <si>
    <t xml:space="preserve">  採權益法認列關聯企業及合資其他綜合損益份額－可重分－</t>
  </si>
  <si>
    <t xml:space="preserve">  其他綜合損益－其他－可重分類－OCI</t>
  </si>
  <si>
    <t xml:space="preserve">  與其他綜合損益組成部分相關之所得稅－可重分類－OCI</t>
  </si>
  <si>
    <t xml:space="preserve"> 後續可能重分類至損益之項目－OCI</t>
  </si>
  <si>
    <t xml:space="preserve"> 合併前非屬共同控制股權綜合損益淨額－OCI</t>
  </si>
  <si>
    <t>其他綜合損益－OCI</t>
  </si>
  <si>
    <t>本期綜合損益總額</t>
  </si>
  <si>
    <t>歸屬母公司淨利（損）</t>
  </si>
  <si>
    <t>歸屬非控制權益淨利（損）</t>
  </si>
  <si>
    <t>歸屬共同控制下前手權益淨利（損）</t>
  </si>
  <si>
    <t>綜合損益歸屬母公司</t>
  </si>
  <si>
    <t>綜合損益歸屬非控制權益</t>
  </si>
  <si>
    <t>綜合損益歸屬共同控制下前手權益</t>
  </si>
  <si>
    <t>每股盈餘</t>
  </si>
  <si>
    <t>加權平均股數</t>
  </si>
  <si>
    <t>發放特別股股息</t>
  </si>
  <si>
    <t>常續性稅後淨利</t>
  </si>
  <si>
    <t xml:space="preserve"> 庫藏股數－母公司</t>
  </si>
  <si>
    <t xml:space="preserve"> 庫藏股數－子公司持有母公司股票或其他</t>
  </si>
  <si>
    <t>庫藏股數（母持及子持母）</t>
  </si>
  <si>
    <t>稅前息前淨利</t>
  </si>
  <si>
    <t>稅前息前折舊前淨利</t>
  </si>
  <si>
    <t>每股盈餘－完全稀釋</t>
  </si>
  <si>
    <t>單位：元</t>
  </si>
  <si>
    <t>合計</t>
  </si>
  <si>
    <t>員工</t>
  </si>
  <si>
    <t>配股率(%)</t>
  </si>
  <si>
    <t>盈餘發放</t>
  </si>
  <si>
    <t>公積發放</t>
  </si>
  <si>
    <t>小計</t>
  </si>
  <si>
    <t>--</t>
  </si>
  <si>
    <t>Start</t>
    <phoneticPr fontId="1" type="noConversion"/>
  </si>
  <si>
    <t>End</t>
    <phoneticPr fontId="1" type="noConversion"/>
  </si>
  <si>
    <r>
      <rPr>
        <b/>
        <sz val="11"/>
        <color rgb="FFC00000"/>
        <rFont val="新細明體"/>
        <family val="2"/>
        <charset val="136"/>
      </rPr>
      <t>便宜</t>
    </r>
    <phoneticPr fontId="1" type="noConversion"/>
  </si>
  <si>
    <r>
      <rPr>
        <b/>
        <sz val="11"/>
        <color rgb="FFC00000"/>
        <rFont val="新細明體"/>
        <family val="2"/>
        <charset val="136"/>
      </rPr>
      <t>合理</t>
    </r>
    <phoneticPr fontId="1" type="noConversion"/>
  </si>
  <si>
    <r>
      <rPr>
        <b/>
        <sz val="11"/>
        <color rgb="FFC00000"/>
        <rFont val="新細明體"/>
        <family val="2"/>
        <charset val="136"/>
      </rPr>
      <t>昂貴</t>
    </r>
    <phoneticPr fontId="1" type="noConversion"/>
  </si>
  <si>
    <t>合併</t>
  </si>
  <si>
    <t>Max = 1707</t>
    <phoneticPr fontId="1" type="noConversion"/>
  </si>
  <si>
    <t>股票代碼</t>
    <phoneticPr fontId="1" type="noConversion"/>
  </si>
  <si>
    <t>股票代碼</t>
    <phoneticPr fontId="1" type="noConversion"/>
  </si>
  <si>
    <t>今天成交量</t>
    <phoneticPr fontId="1" type="noConversion"/>
  </si>
  <si>
    <t>Read Me for "清除所有" : 
1. 清除B3~H2000所有資料</t>
    <phoneticPr fontId="1" type="noConversion"/>
  </si>
  <si>
    <t xml:space="preserve">Read Me for "更新所有" : 
1. 填入Start和End 索引值 , Start儲存格 "B1" , End儲存格 "D1"
2. 目前股票檔數1705檔 , 從下列網站抓取檔數資料 : 
     https://stock.wespai.com/p/32789
3. 更新項目 : 
    1. 今天收盤價 (Temp1 sheet)
    2. 歷年最低本益比 (Temp1 sheet)
    3. 股本資料 (Temp1 sheet) 
    4. 近五年 EPS (Temp2 sheet)
    5. 近一年淨利 (Temp3 sheet)
    6. 近五年股利 (Temp4 sheet)
4. 更新完以上所列6項目後 代入Template sheet裡預設公式後得出含息後的股價區間並匯入此頁 , 再根據今天收盤價與價格區間比較得出F~H的篩選表 , "1" 代表今天收盤價低於對應的價格區間 </t>
    <phoneticPr fontId="1" type="noConversion"/>
  </si>
  <si>
    <t>Read Me for "更新每日資料" : 
1. 填入Start和End 索引值 , Start儲存格 "B1" , End儲存格 "D1"
2. 這Function會先清除"今天收盤價" , "今天成交量" , "便宜" , "合理" , "昂貴"
3.按下後會更新Note2所清除的欄位資料</t>
    <phoneticPr fontId="1" type="noConversion"/>
  </si>
  <si>
    <t>Read Me for "更新單一股票" : 
1. 輸入股票代碼於儲存格 "K12"</t>
    <phoneticPr fontId="1" type="noConversion"/>
  </si>
  <si>
    <t>2012年</t>
  </si>
  <si>
    <t>財務比例(108.2Q)</t>
  </si>
  <si>
    <t>獲利能力(108.2Q)</t>
  </si>
  <si>
    <t>台新銀</t>
  </si>
  <si>
    <t>02-25048125</t>
  </si>
  <si>
    <t>財務預測108</t>
  </si>
  <si>
    <t xml:space="preserve">光磊 (2340)  基本資料  </t>
  </si>
  <si>
    <t>王虹東</t>
  </si>
  <si>
    <t>李榮寰</t>
  </si>
  <si>
    <t>陳建璋(代)</t>
  </si>
  <si>
    <t>感測元件48.24%、發光元件28.99%、系統產品16.84%、封裝產品5.53%、其他產品0.40% (2018年)</t>
  </si>
  <si>
    <t>03-5638951</t>
  </si>
  <si>
    <t>http://www.opto.com.tw/</t>
  </si>
  <si>
    <t>新竹科學園區創新一路8號</t>
  </si>
  <si>
    <t>光磊(2340)綜合損益表</t>
  </si>
  <si>
    <t>光磊(2340)現金流量表</t>
  </si>
  <si>
    <t>光磊(2340)之股利政策</t>
  </si>
  <si>
    <t>最近交易日:08/28   市值單位:百萬</t>
  </si>
  <si>
    <t>投資報酬率(08/28)</t>
  </si>
  <si>
    <t>投資風險(08/28)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</si>
</sst>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charset val="136"/>
    </font>
    <font>
      <sz val="11"/>
      <color theme="1"/>
      <name val="Calibri Light"/>
      <family val="2"/>
    </font>
    <font>
      <b/>
      <sz val="11"/>
      <color rgb="FFC00000"/>
      <name val="Calibri Light"/>
      <family val="2"/>
    </font>
    <font>
      <b/>
      <sz val="11"/>
      <color rgb="FFC00000"/>
      <name val="新細明體"/>
      <family val="1"/>
      <charset val="136"/>
    </font>
    <font>
      <sz val="11"/>
      <color theme="1"/>
      <name val="細明體"/>
      <family val="3"/>
      <charset val="136"/>
    </font>
    <font>
      <b/>
      <sz val="11"/>
      <color theme="1"/>
      <name val="Calibri Light"/>
      <family val="2"/>
    </font>
    <font>
      <b/>
      <sz val="11"/>
      <color theme="1"/>
      <name val="細明體"/>
      <family val="3"/>
      <charset val="136"/>
    </font>
    <font>
      <b/>
      <sz val="11"/>
      <name val="Calibri Light"/>
      <family val="2"/>
    </font>
    <font>
      <sz val="11"/>
      <name val="Calibri Light"/>
      <family val="2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b/>
      <sz val="11"/>
      <color rgb="FFC00000"/>
      <name val="新細明體"/>
      <family val="2"/>
      <charset val="136"/>
    </font>
    <font>
      <sz val="12"/>
      <color rgb="FF000000"/>
      <name val="新細明體"/>
      <family val="1"/>
      <charset val="136"/>
    </font>
    <font>
      <sz val="11"/>
      <color rgb="FF333333"/>
      <name val="Tahoma"/>
      <family val="2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3" fillId="0" borderId="0" xfId="0" applyFont="1">
      <alignment vertical="center"/>
    </xf>
    <xf numFmtId="9" fontId="3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2" fontId="3" fillId="0" borderId="0" xfId="0" applyNumberFormat="1" applyFont="1">
      <alignment vertical="center"/>
    </xf>
    <xf numFmtId="9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10" fillId="0" borderId="0" xfId="0" applyFont="1">
      <alignment vertical="center"/>
    </xf>
    <xf numFmtId="2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0" fontId="4" fillId="3" borderId="0" xfId="0" applyFont="1" applyFill="1">
      <alignment vertical="center"/>
    </xf>
    <xf numFmtId="2" fontId="4" fillId="3" borderId="0" xfId="0" applyNumberFormat="1" applyFont="1" applyFill="1">
      <alignment vertical="center"/>
    </xf>
    <xf numFmtId="176" fontId="4" fillId="3" borderId="0" xfId="0" applyNumberFormat="1" applyFont="1" applyFill="1">
      <alignment vertical="center"/>
    </xf>
    <xf numFmtId="0" fontId="2" fillId="2" borderId="0" xfId="0" applyFont="1" applyFill="1">
      <alignment vertical="center"/>
    </xf>
    <xf numFmtId="0" fontId="9" fillId="3" borderId="0" xfId="0" applyFont="1" applyFill="1">
      <alignment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 wrapText="1"/>
    </xf>
    <xf numFmtId="0" fontId="6" fillId="0" borderId="0" xfId="0" applyFont="1">
      <alignment vertical="center"/>
    </xf>
    <xf numFmtId="3" fontId="0" fillId="0" borderId="0" xfId="0" applyNumberFormat="1">
      <alignment vertical="center"/>
    </xf>
    <xf numFmtId="10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5" fillId="0" borderId="0" xfId="0" applyFont="1" applyFill="1" applyBorder="1" applyAlignment="1">
      <alignment vertical="center" wrapText="1"/>
    </xf>
    <xf numFmtId="0" fontId="16" fillId="5" borderId="0" xfId="0" applyFont="1" applyFill="1">
      <alignment vertical="center"/>
    </xf>
    <xf numFmtId="0" fontId="4" fillId="3" borderId="10" xfId="0" applyFont="1" applyFill="1" applyBorder="1">
      <alignment vertical="center"/>
    </xf>
    <xf numFmtId="0" fontId="15" fillId="0" borderId="11" xfId="0" applyFont="1" applyFill="1" applyBorder="1" applyAlignment="1">
      <alignment vertical="center" wrapText="1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13" fillId="3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3" fillId="3" borderId="10" xfId="0" applyFont="1" applyFill="1" applyBorder="1">
      <alignment vertical="center"/>
    </xf>
    <xf numFmtId="0" fontId="16" fillId="5" borderId="14" xfId="0" applyFont="1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16" xfId="0" applyFont="1" applyFill="1" applyBorder="1">
      <alignment vertical="center"/>
    </xf>
    <xf numFmtId="0" fontId="16" fillId="5" borderId="1" xfId="0" applyFont="1" applyFill="1" applyBorder="1">
      <alignment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12" fillId="4" borderId="0" xfId="0" applyFont="1" applyFill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14</xdr:row>
          <xdr:rowOff>171450</xdr:rowOff>
        </xdr:from>
        <xdr:to>
          <xdr:col>10</xdr:col>
          <xdr:colOff>723900</xdr:colOff>
          <xdr:row>17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更新所有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32</xdr:row>
          <xdr:rowOff>28575</xdr:rowOff>
        </xdr:from>
        <xdr:to>
          <xdr:col>10</xdr:col>
          <xdr:colOff>704850</xdr:colOff>
          <xdr:row>34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清除所有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7</xdr:row>
          <xdr:rowOff>0</xdr:rowOff>
        </xdr:from>
        <xdr:to>
          <xdr:col>10</xdr:col>
          <xdr:colOff>676275</xdr:colOff>
          <xdr:row>8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更新單一股票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200025</xdr:rowOff>
        </xdr:from>
        <xdr:to>
          <xdr:col>10</xdr:col>
          <xdr:colOff>876300</xdr:colOff>
          <xdr:row>2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更新每日資料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zca_4137.djhtm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zcqa_4137.djhtm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zc3a_4137.djhtm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zcc_4137.djhtm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R1707"/>
  <sheetViews>
    <sheetView workbookViewId="0">
      <selection activeCell="L13" sqref="L13"/>
    </sheetView>
  </sheetViews>
  <sheetFormatPr defaultRowHeight="16.5"/>
  <cols>
    <col min="2" max="3" width="12.875" customWidth="1"/>
    <col min="5" max="5" width="9.875" customWidth="1"/>
    <col min="6" max="6" width="14.5" customWidth="1"/>
    <col min="11" max="11" width="12" customWidth="1"/>
    <col min="12" max="12" width="14.25" customWidth="1"/>
  </cols>
  <sheetData>
    <row r="1" spans="1:18">
      <c r="A1" t="s">
        <v>341</v>
      </c>
      <c r="B1">
        <v>883</v>
      </c>
      <c r="C1" t="s">
        <v>342</v>
      </c>
      <c r="D1">
        <v>883</v>
      </c>
      <c r="E1" t="s">
        <v>347</v>
      </c>
    </row>
    <row r="2" spans="1:18">
      <c r="A2" s="25" t="s">
        <v>349</v>
      </c>
      <c r="B2" s="11" t="s">
        <v>128</v>
      </c>
      <c r="C2" s="30" t="s">
        <v>350</v>
      </c>
      <c r="D2" s="11" t="s">
        <v>36</v>
      </c>
      <c r="E2" s="11" t="s">
        <v>37</v>
      </c>
      <c r="F2" s="11" t="s">
        <v>38</v>
      </c>
      <c r="G2" s="11" t="s">
        <v>343</v>
      </c>
      <c r="H2" s="11" t="s">
        <v>344</v>
      </c>
      <c r="I2" s="11" t="s">
        <v>345</v>
      </c>
    </row>
    <row r="3" spans="1:18" ht="17.25" thickBot="1">
      <c r="A3" s="24">
        <v>1101</v>
      </c>
      <c r="B3">
        <v>45</v>
      </c>
      <c r="C3">
        <v>10694</v>
      </c>
      <c r="D3">
        <v>48.046545629373995</v>
      </c>
      <c r="E3">
        <v>61.248142679200171</v>
      </c>
      <c r="F3">
        <v>92.326273458570057</v>
      </c>
      <c r="H3">
        <v>1</v>
      </c>
      <c r="I3">
        <v>1</v>
      </c>
    </row>
    <row r="4" spans="1:18">
      <c r="A4" s="24">
        <v>1102</v>
      </c>
      <c r="B4">
        <v>42</v>
      </c>
      <c r="C4">
        <v>7707</v>
      </c>
      <c r="D4">
        <v>41.826788608548519</v>
      </c>
      <c r="E4">
        <v>53.955038326217547</v>
      </c>
      <c r="F4">
        <v>82.78805335139667</v>
      </c>
      <c r="H4">
        <v>1</v>
      </c>
      <c r="I4">
        <v>1</v>
      </c>
      <c r="J4" s="39" t="s">
        <v>353</v>
      </c>
      <c r="K4" s="40"/>
      <c r="L4" s="40"/>
      <c r="M4" s="40"/>
      <c r="N4" s="40"/>
      <c r="O4" s="40"/>
      <c r="P4" s="40"/>
      <c r="Q4" s="41"/>
    </row>
    <row r="5" spans="1:18">
      <c r="A5" s="24">
        <v>1103</v>
      </c>
      <c r="B5">
        <v>17</v>
      </c>
      <c r="C5">
        <v>421</v>
      </c>
      <c r="D5">
        <v>10.82100206624283</v>
      </c>
      <c r="E5">
        <v>13.003737614971445</v>
      </c>
      <c r="F5">
        <v>17.791852135527542</v>
      </c>
      <c r="I5">
        <v>1</v>
      </c>
      <c r="J5" s="45"/>
      <c r="K5" s="46"/>
      <c r="L5" s="46"/>
      <c r="M5" s="46"/>
      <c r="N5" s="46"/>
      <c r="O5" s="46"/>
      <c r="P5" s="46"/>
      <c r="Q5" s="47"/>
    </row>
    <row r="6" spans="1:18">
      <c r="A6" s="24">
        <v>1104</v>
      </c>
      <c r="B6">
        <v>19</v>
      </c>
      <c r="C6">
        <v>225</v>
      </c>
      <c r="D6">
        <v>10.221159293076695</v>
      </c>
      <c r="E6">
        <v>13.372807202819878</v>
      </c>
      <c r="F6">
        <v>20.944250513081133</v>
      </c>
      <c r="I6">
        <v>1</v>
      </c>
      <c r="J6" s="45"/>
      <c r="K6" s="46"/>
      <c r="L6" s="46"/>
      <c r="M6" s="46"/>
      <c r="N6" s="46"/>
      <c r="O6" s="46"/>
      <c r="P6" s="46"/>
      <c r="Q6" s="47"/>
    </row>
    <row r="7" spans="1:18" ht="17.25" thickBot="1">
      <c r="A7" s="24">
        <v>1108</v>
      </c>
      <c r="B7">
        <v>7</v>
      </c>
      <c r="C7">
        <v>48</v>
      </c>
      <c r="D7">
        <v>-1.1149171001767681</v>
      </c>
      <c r="E7">
        <v>-1.318620579008724</v>
      </c>
      <c r="F7">
        <v>-1.7526801097010567</v>
      </c>
      <c r="J7" s="42"/>
      <c r="K7" s="43"/>
      <c r="L7" s="43"/>
      <c r="M7" s="43"/>
      <c r="N7" s="43"/>
      <c r="O7" s="43"/>
      <c r="P7" s="43"/>
      <c r="Q7" s="44"/>
    </row>
    <row r="8" spans="1:18">
      <c r="A8" s="24">
        <v>1109</v>
      </c>
      <c r="B8">
        <v>18</v>
      </c>
      <c r="C8">
        <v>360</v>
      </c>
      <c r="D8">
        <v>42.542585424039238</v>
      </c>
      <c r="E8">
        <v>52.612442462141786</v>
      </c>
      <c r="F8">
        <v>75.60045839952042</v>
      </c>
      <c r="G8">
        <v>1</v>
      </c>
      <c r="H8">
        <v>1</v>
      </c>
      <c r="I8">
        <v>1</v>
      </c>
    </row>
    <row r="9" spans="1:18" ht="17.25" thickBot="1">
      <c r="A9" s="24">
        <v>1110</v>
      </c>
      <c r="B9">
        <v>17</v>
      </c>
      <c r="C9">
        <v>1</v>
      </c>
      <c r="D9">
        <v>2.724636952814663</v>
      </c>
      <c r="E9">
        <v>3.7754932927375782</v>
      </c>
      <c r="F9">
        <v>6.3832565361874236</v>
      </c>
    </row>
    <row r="10" spans="1:18">
      <c r="A10" s="24">
        <v>1201</v>
      </c>
      <c r="B10">
        <v>31</v>
      </c>
      <c r="C10">
        <v>5604</v>
      </c>
      <c r="D10">
        <v>4.8864238555076911</v>
      </c>
      <c r="E10">
        <v>6.7877722275117183</v>
      </c>
      <c r="F10">
        <v>11.511360848447932</v>
      </c>
      <c r="J10" s="39" t="s">
        <v>354</v>
      </c>
      <c r="K10" s="40"/>
      <c r="L10" s="40"/>
      <c r="M10" s="40"/>
      <c r="N10" s="40"/>
      <c r="O10" s="40"/>
      <c r="P10" s="40"/>
      <c r="Q10" s="41"/>
    </row>
    <row r="11" spans="1:18" ht="17.25" thickBot="1">
      <c r="A11" s="24">
        <v>1203</v>
      </c>
      <c r="B11">
        <v>27</v>
      </c>
      <c r="C11">
        <v>13</v>
      </c>
      <c r="D11">
        <v>32.861342323928454</v>
      </c>
      <c r="E11">
        <v>42.953794935329483</v>
      </c>
      <c r="F11">
        <v>67.183789777050677</v>
      </c>
      <c r="G11">
        <v>1</v>
      </c>
      <c r="H11">
        <v>1</v>
      </c>
      <c r="I11">
        <v>1</v>
      </c>
      <c r="J11" s="42"/>
      <c r="K11" s="43"/>
      <c r="L11" s="43"/>
      <c r="M11" s="43"/>
      <c r="N11" s="43"/>
      <c r="O11" s="43"/>
      <c r="P11" s="43"/>
      <c r="Q11" s="44"/>
    </row>
    <row r="12" spans="1:18" ht="17.25" thickBot="1">
      <c r="A12" s="24">
        <v>1210</v>
      </c>
      <c r="B12">
        <v>40</v>
      </c>
      <c r="C12">
        <v>940</v>
      </c>
      <c r="D12">
        <v>26.76288734303121</v>
      </c>
      <c r="E12">
        <v>34.775701575692054</v>
      </c>
      <c r="F12">
        <v>53.930960628060362</v>
      </c>
      <c r="I12">
        <v>1</v>
      </c>
      <c r="J12" s="31" t="s">
        <v>348</v>
      </c>
      <c r="K12" s="38">
        <v>2340</v>
      </c>
      <c r="L12" s="32"/>
      <c r="M12" s="32"/>
      <c r="N12" s="32"/>
      <c r="O12" s="32"/>
      <c r="P12" s="32"/>
      <c r="Q12" s="32"/>
      <c r="R12" s="33"/>
    </row>
    <row r="13" spans="1:18">
      <c r="A13" s="24">
        <v>1215</v>
      </c>
      <c r="B13">
        <v>71</v>
      </c>
      <c r="C13">
        <v>1282</v>
      </c>
      <c r="D13">
        <v>36.659223478227005</v>
      </c>
      <c r="E13">
        <v>48.017424641291413</v>
      </c>
      <c r="F13">
        <v>75.325614000510228</v>
      </c>
      <c r="I13">
        <v>1</v>
      </c>
      <c r="J13" s="35" t="s">
        <v>349</v>
      </c>
      <c r="K13" s="37" t="s">
        <v>128</v>
      </c>
      <c r="L13" s="34" t="s">
        <v>350</v>
      </c>
      <c r="M13" s="26" t="s">
        <v>36</v>
      </c>
      <c r="N13" s="26" t="s">
        <v>37</v>
      </c>
      <c r="O13" s="26" t="s">
        <v>38</v>
      </c>
      <c r="P13" s="26" t="s">
        <v>343</v>
      </c>
      <c r="Q13" s="26" t="s">
        <v>344</v>
      </c>
      <c r="R13" s="36" t="s">
        <v>345</v>
      </c>
    </row>
    <row r="14" spans="1:18" ht="17.25" thickBot="1">
      <c r="A14" s="24">
        <v>1216</v>
      </c>
      <c r="B14">
        <v>81</v>
      </c>
      <c r="C14">
        <v>5542</v>
      </c>
      <c r="D14">
        <v>46.02554139957698</v>
      </c>
      <c r="E14">
        <v>59.034668259893422</v>
      </c>
      <c r="F14">
        <v>89.820485643942305</v>
      </c>
      <c r="I14">
        <v>1</v>
      </c>
      <c r="J14" s="27">
        <v>2340</v>
      </c>
      <c r="K14" s="28">
        <v>24</v>
      </c>
      <c r="L14" s="28">
        <v>6982</v>
      </c>
      <c r="M14" s="28">
        <v>27.717195173816343</v>
      </c>
      <c r="N14" s="28">
        <v>37.771623174362468</v>
      </c>
      <c r="O14" s="28">
        <v>62.521597065411669</v>
      </c>
      <c r="P14" s="28">
        <v>1</v>
      </c>
      <c r="Q14" s="28">
        <v>1</v>
      </c>
      <c r="R14" s="29">
        <v>1</v>
      </c>
    </row>
    <row r="15" spans="1:18">
      <c r="A15" s="24">
        <v>1217</v>
      </c>
      <c r="B15">
        <v>7</v>
      </c>
      <c r="C15">
        <v>387</v>
      </c>
      <c r="D15">
        <v>0.7854709137427347</v>
      </c>
      <c r="E15">
        <v>1.0778863257128899</v>
      </c>
      <c r="F15">
        <v>1.8002084274450414</v>
      </c>
    </row>
    <row r="16" spans="1:18">
      <c r="A16" s="24">
        <v>1218</v>
      </c>
      <c r="B16">
        <v>20</v>
      </c>
      <c r="C16">
        <v>495</v>
      </c>
      <c r="D16">
        <v>6.8247718970520177</v>
      </c>
      <c r="E16">
        <v>9.4523811870113406</v>
      </c>
      <c r="F16">
        <v>15.971494923561782</v>
      </c>
    </row>
    <row r="17" spans="1:17">
      <c r="A17" s="24">
        <v>1219</v>
      </c>
      <c r="B17">
        <v>18</v>
      </c>
      <c r="C17">
        <v>25</v>
      </c>
      <c r="D17">
        <v>-8.0650293571489726</v>
      </c>
      <c r="E17">
        <v>-11.578167004158928</v>
      </c>
      <c r="F17">
        <v>-20.423315594982206</v>
      </c>
    </row>
    <row r="18" spans="1:17" ht="17.25" thickBot="1">
      <c r="A18" s="24">
        <v>1220</v>
      </c>
      <c r="B18">
        <v>11</v>
      </c>
      <c r="C18">
        <v>53</v>
      </c>
      <c r="D18">
        <v>8.016551436121869</v>
      </c>
      <c r="E18">
        <v>10.63808516090697</v>
      </c>
      <c r="F18">
        <v>16.995094749175934</v>
      </c>
      <c r="I18">
        <v>1</v>
      </c>
    </row>
    <row r="19" spans="1:17">
      <c r="A19" s="24">
        <v>1225</v>
      </c>
      <c r="B19">
        <v>59</v>
      </c>
      <c r="C19">
        <v>63</v>
      </c>
      <c r="D19">
        <v>32.958565158111746</v>
      </c>
      <c r="E19">
        <v>45.226861624878289</v>
      </c>
      <c r="F19">
        <v>75.531404158266668</v>
      </c>
      <c r="I19">
        <v>1</v>
      </c>
      <c r="J19" s="39" t="s">
        <v>352</v>
      </c>
      <c r="K19" s="40"/>
      <c r="L19" s="40"/>
      <c r="M19" s="40"/>
      <c r="N19" s="40"/>
      <c r="O19" s="48"/>
      <c r="P19" s="48"/>
      <c r="Q19" s="49"/>
    </row>
    <row r="20" spans="1:17">
      <c r="A20" s="24">
        <v>1227</v>
      </c>
      <c r="B20">
        <v>59</v>
      </c>
      <c r="C20">
        <v>712</v>
      </c>
      <c r="D20">
        <v>34.792365271316548</v>
      </c>
      <c r="E20">
        <v>45.584299172863084</v>
      </c>
      <c r="F20">
        <v>71.535801632632484</v>
      </c>
      <c r="I20">
        <v>1</v>
      </c>
      <c r="J20" s="45"/>
      <c r="K20" s="46"/>
      <c r="L20" s="46"/>
      <c r="M20" s="46"/>
      <c r="N20" s="46"/>
      <c r="O20" s="50"/>
      <c r="P20" s="50"/>
      <c r="Q20" s="51"/>
    </row>
    <row r="21" spans="1:17">
      <c r="A21" s="24">
        <v>1229</v>
      </c>
      <c r="B21">
        <v>39</v>
      </c>
      <c r="C21">
        <v>1505</v>
      </c>
      <c r="D21">
        <v>19.779999979526629</v>
      </c>
      <c r="E21">
        <v>25.483682465259406</v>
      </c>
      <c r="F21">
        <v>39.029941889265913</v>
      </c>
      <c r="I21">
        <v>1</v>
      </c>
      <c r="J21" s="45"/>
      <c r="K21" s="46"/>
      <c r="L21" s="46"/>
      <c r="M21" s="46"/>
      <c r="N21" s="46"/>
      <c r="O21" s="50"/>
      <c r="P21" s="50"/>
      <c r="Q21" s="51"/>
    </row>
    <row r="22" spans="1:17">
      <c r="A22" s="24">
        <v>1231</v>
      </c>
      <c r="B22">
        <v>46</v>
      </c>
      <c r="C22">
        <v>134</v>
      </c>
      <c r="D22">
        <v>28.864264772761288</v>
      </c>
      <c r="E22">
        <v>37.67948236635192</v>
      </c>
      <c r="F22">
        <v>58.823405989600687</v>
      </c>
      <c r="I22">
        <v>1</v>
      </c>
      <c r="J22" s="45"/>
      <c r="K22" s="46"/>
      <c r="L22" s="46"/>
      <c r="M22" s="46"/>
      <c r="N22" s="46"/>
      <c r="O22" s="50"/>
      <c r="P22" s="50"/>
      <c r="Q22" s="51"/>
    </row>
    <row r="23" spans="1:17">
      <c r="A23" s="24">
        <v>1232</v>
      </c>
      <c r="B23">
        <v>121</v>
      </c>
      <c r="C23">
        <v>40</v>
      </c>
      <c r="D23">
        <v>71.027328615380952</v>
      </c>
      <c r="E23">
        <v>93.093468878946226</v>
      </c>
      <c r="F23">
        <v>146.1698632684124</v>
      </c>
      <c r="I23">
        <v>1</v>
      </c>
      <c r="J23" s="45"/>
      <c r="K23" s="46"/>
      <c r="L23" s="46"/>
      <c r="M23" s="46"/>
      <c r="N23" s="46"/>
      <c r="O23" s="50"/>
      <c r="P23" s="50"/>
      <c r="Q23" s="51"/>
    </row>
    <row r="24" spans="1:17">
      <c r="A24" s="24">
        <v>1233</v>
      </c>
      <c r="B24">
        <v>38</v>
      </c>
      <c r="C24">
        <v>11</v>
      </c>
      <c r="D24">
        <v>25.892683638249871</v>
      </c>
      <c r="E24">
        <v>34.029065005636184</v>
      </c>
      <c r="F24">
        <v>53.635927250026285</v>
      </c>
      <c r="I24">
        <v>1</v>
      </c>
      <c r="J24" s="52"/>
      <c r="K24" s="50"/>
      <c r="L24" s="50"/>
      <c r="M24" s="50"/>
      <c r="N24" s="50"/>
      <c r="O24" s="50"/>
      <c r="P24" s="50"/>
      <c r="Q24" s="51"/>
    </row>
    <row r="25" spans="1:17">
      <c r="A25" s="24">
        <v>1234</v>
      </c>
      <c r="B25">
        <v>32</v>
      </c>
      <c r="C25">
        <v>59</v>
      </c>
      <c r="D25">
        <v>20.863425883049871</v>
      </c>
      <c r="E25">
        <v>27.200727411705678</v>
      </c>
      <c r="F25">
        <v>42.387463217372385</v>
      </c>
      <c r="I25">
        <v>1</v>
      </c>
      <c r="J25" s="52"/>
      <c r="K25" s="50"/>
      <c r="L25" s="50"/>
      <c r="M25" s="50"/>
      <c r="N25" s="50"/>
      <c r="O25" s="50"/>
      <c r="P25" s="50"/>
      <c r="Q25" s="51"/>
    </row>
    <row r="26" spans="1:17">
      <c r="A26" s="24">
        <v>1235</v>
      </c>
      <c r="B26">
        <v>28</v>
      </c>
      <c r="C26">
        <v>5</v>
      </c>
      <c r="D26">
        <v>6.9017224629066511</v>
      </c>
      <c r="E26">
        <v>9.0342614743879661</v>
      </c>
      <c r="F26">
        <v>14.15916908700274</v>
      </c>
      <c r="J26" s="52"/>
      <c r="K26" s="50"/>
      <c r="L26" s="50"/>
      <c r="M26" s="50"/>
      <c r="N26" s="50"/>
      <c r="O26" s="50"/>
      <c r="P26" s="50"/>
      <c r="Q26" s="51"/>
    </row>
    <row r="27" spans="1:17">
      <c r="A27" s="24">
        <v>1236</v>
      </c>
      <c r="B27">
        <v>14</v>
      </c>
      <c r="C27">
        <v>57</v>
      </c>
      <c r="D27">
        <v>6.704526730080187</v>
      </c>
      <c r="E27">
        <v>9.2856928574352597</v>
      </c>
      <c r="F27">
        <v>15.689534193540155</v>
      </c>
      <c r="I27">
        <v>1</v>
      </c>
      <c r="J27" s="52"/>
      <c r="K27" s="50"/>
      <c r="L27" s="50"/>
      <c r="M27" s="50"/>
      <c r="N27" s="50"/>
      <c r="O27" s="50"/>
      <c r="P27" s="50"/>
      <c r="Q27" s="51"/>
    </row>
    <row r="28" spans="1:17">
      <c r="A28" s="24">
        <v>1240</v>
      </c>
      <c r="B28">
        <v>48</v>
      </c>
      <c r="C28">
        <v>25</v>
      </c>
      <c r="D28">
        <v>20.319975218017451</v>
      </c>
      <c r="E28">
        <v>27.624001911003315</v>
      </c>
      <c r="F28">
        <v>45.58108214729252</v>
      </c>
      <c r="J28" s="52"/>
      <c r="K28" s="50"/>
      <c r="L28" s="50"/>
      <c r="M28" s="50"/>
      <c r="N28" s="50"/>
      <c r="O28" s="50"/>
      <c r="P28" s="50"/>
      <c r="Q28" s="51"/>
    </row>
    <row r="29" spans="1:17">
      <c r="A29" s="24">
        <v>1256</v>
      </c>
      <c r="B29">
        <v>217</v>
      </c>
      <c r="C29">
        <v>139</v>
      </c>
      <c r="D29">
        <v>121.9565598280718</v>
      </c>
      <c r="E29">
        <v>159.65537470638125</v>
      </c>
      <c r="F29">
        <v>250.25924709496323</v>
      </c>
      <c r="I29">
        <v>1</v>
      </c>
      <c r="J29" s="52"/>
      <c r="K29" s="50"/>
      <c r="L29" s="50"/>
      <c r="M29" s="50"/>
      <c r="N29" s="50"/>
      <c r="O29" s="50"/>
      <c r="P29" s="50"/>
      <c r="Q29" s="51"/>
    </row>
    <row r="30" spans="1:17">
      <c r="A30" s="24">
        <v>1258</v>
      </c>
      <c r="B30">
        <v>20</v>
      </c>
      <c r="C30">
        <v>0</v>
      </c>
      <c r="D30">
        <v>-7.1501224683026727</v>
      </c>
      <c r="E30">
        <v>-8.456501947671013</v>
      </c>
      <c r="F30">
        <v>-11.240187660709317</v>
      </c>
      <c r="J30" s="52"/>
      <c r="K30" s="50"/>
      <c r="L30" s="50"/>
      <c r="M30" s="50"/>
      <c r="N30" s="50"/>
      <c r="O30" s="50"/>
      <c r="P30" s="50"/>
      <c r="Q30" s="51"/>
    </row>
    <row r="31" spans="1:17">
      <c r="A31" s="24">
        <v>1259</v>
      </c>
      <c r="B31">
        <v>70</v>
      </c>
      <c r="C31">
        <v>10</v>
      </c>
      <c r="D31">
        <v>46.561282138176523</v>
      </c>
      <c r="E31">
        <v>61.432283478779418</v>
      </c>
      <c r="F31">
        <v>97.361003559334094</v>
      </c>
      <c r="I31">
        <v>1</v>
      </c>
      <c r="J31" s="52"/>
      <c r="K31" s="50"/>
      <c r="L31" s="50"/>
      <c r="M31" s="50"/>
      <c r="N31" s="50"/>
      <c r="O31" s="50"/>
      <c r="P31" s="50"/>
      <c r="Q31" s="51"/>
    </row>
    <row r="32" spans="1:17" ht="17.25" thickBot="1">
      <c r="A32" s="24">
        <v>1262</v>
      </c>
      <c r="B32">
        <v>39</v>
      </c>
      <c r="C32">
        <v>360</v>
      </c>
      <c r="D32">
        <v>-3.0551118739683516</v>
      </c>
      <c r="E32">
        <v>-3.6133030765694221</v>
      </c>
      <c r="F32">
        <v>-4.8027192457330541</v>
      </c>
      <c r="J32" s="53"/>
      <c r="K32" s="54"/>
      <c r="L32" s="54"/>
      <c r="M32" s="54"/>
      <c r="N32" s="54"/>
      <c r="O32" s="54"/>
      <c r="P32" s="54"/>
      <c r="Q32" s="55"/>
    </row>
    <row r="33" spans="1:17">
      <c r="A33" s="24">
        <v>1264</v>
      </c>
      <c r="B33">
        <v>219</v>
      </c>
      <c r="C33">
        <v>2</v>
      </c>
      <c r="D33">
        <v>200.70114073173158</v>
      </c>
      <c r="E33">
        <v>261.71637955056008</v>
      </c>
      <c r="F33">
        <v>407.95436503859321</v>
      </c>
      <c r="H33">
        <v>1</v>
      </c>
      <c r="I33">
        <v>1</v>
      </c>
    </row>
    <row r="34" spans="1:17">
      <c r="A34" s="24">
        <v>1268</v>
      </c>
      <c r="B34">
        <v>140</v>
      </c>
      <c r="C34">
        <v>38</v>
      </c>
      <c r="D34">
        <v>70.74322354116218</v>
      </c>
      <c r="E34">
        <v>93.791592053591287</v>
      </c>
      <c r="F34">
        <v>149.65011939784529</v>
      </c>
      <c r="I34">
        <v>1</v>
      </c>
    </row>
    <row r="35" spans="1:17" ht="17.25" thickBot="1">
      <c r="A35" s="24">
        <v>1301</v>
      </c>
      <c r="B35">
        <v>101</v>
      </c>
      <c r="C35">
        <v>4107</v>
      </c>
      <c r="D35">
        <v>61.131272223459391</v>
      </c>
      <c r="E35">
        <v>78.932665024706537</v>
      </c>
      <c r="F35">
        <v>121.28441119085777</v>
      </c>
      <c r="I35">
        <v>1</v>
      </c>
    </row>
    <row r="36" spans="1:17">
      <c r="A36" s="24">
        <v>1303</v>
      </c>
      <c r="B36">
        <v>72</v>
      </c>
      <c r="C36">
        <v>6953</v>
      </c>
      <c r="D36">
        <v>50.318427531543833</v>
      </c>
      <c r="E36">
        <v>64.679071529486222</v>
      </c>
      <c r="F36">
        <v>98.722728801354009</v>
      </c>
      <c r="I36">
        <v>1</v>
      </c>
      <c r="J36" s="39" t="s">
        <v>351</v>
      </c>
      <c r="K36" s="40"/>
      <c r="L36" s="40"/>
      <c r="M36" s="40"/>
      <c r="N36" s="40"/>
      <c r="O36" s="40"/>
      <c r="P36" s="40"/>
      <c r="Q36" s="41"/>
    </row>
    <row r="37" spans="1:17" ht="17.25" thickBot="1">
      <c r="A37" s="24">
        <v>1304</v>
      </c>
      <c r="B37">
        <v>12</v>
      </c>
      <c r="C37">
        <v>932</v>
      </c>
      <c r="D37">
        <v>15.442320547478072</v>
      </c>
      <c r="E37">
        <v>20.459339520054272</v>
      </c>
      <c r="F37">
        <v>32.612976706720559</v>
      </c>
      <c r="G37">
        <v>1</v>
      </c>
      <c r="H37">
        <v>1</v>
      </c>
      <c r="I37">
        <v>1</v>
      </c>
      <c r="J37" s="42"/>
      <c r="K37" s="43"/>
      <c r="L37" s="43"/>
      <c r="M37" s="43"/>
      <c r="N37" s="43"/>
      <c r="O37" s="43"/>
      <c r="P37" s="43"/>
      <c r="Q37" s="44"/>
    </row>
    <row r="38" spans="1:17">
      <c r="A38" s="24">
        <v>1305</v>
      </c>
      <c r="B38">
        <v>22</v>
      </c>
      <c r="C38">
        <v>2099</v>
      </c>
      <c r="D38">
        <v>18.782271206993236</v>
      </c>
      <c r="E38">
        <v>23.830458580169612</v>
      </c>
      <c r="F38">
        <v>35.664614372913448</v>
      </c>
      <c r="H38">
        <v>1</v>
      </c>
      <c r="I38">
        <v>1</v>
      </c>
    </row>
    <row r="39" spans="1:17">
      <c r="A39" s="24">
        <v>1307</v>
      </c>
      <c r="B39">
        <v>23</v>
      </c>
      <c r="C39">
        <v>90</v>
      </c>
      <c r="D39">
        <v>11.329062860062955</v>
      </c>
      <c r="E39">
        <v>15.317019822005475</v>
      </c>
      <c r="F39">
        <v>25.09293435431983</v>
      </c>
      <c r="I39">
        <v>1</v>
      </c>
    </row>
    <row r="40" spans="1:17">
      <c r="A40" s="24">
        <v>1308</v>
      </c>
      <c r="B40">
        <v>15</v>
      </c>
      <c r="C40">
        <v>3981</v>
      </c>
      <c r="D40">
        <v>5.6350120095097083</v>
      </c>
      <c r="E40">
        <v>7.517576661923286</v>
      </c>
      <c r="F40">
        <v>12.09747551971526</v>
      </c>
    </row>
    <row r="41" spans="1:17">
      <c r="A41" s="24">
        <v>1309</v>
      </c>
      <c r="B41">
        <v>10</v>
      </c>
      <c r="C41">
        <v>585</v>
      </c>
      <c r="D41">
        <v>2.1685400116254794</v>
      </c>
      <c r="E41">
        <v>2.9358643758368475</v>
      </c>
      <c r="F41">
        <v>4.8182265102688513</v>
      </c>
    </row>
    <row r="42" spans="1:17">
      <c r="A42" s="24">
        <v>1310</v>
      </c>
      <c r="B42">
        <v>24</v>
      </c>
      <c r="C42">
        <v>1000</v>
      </c>
      <c r="D42">
        <v>18.067307144149684</v>
      </c>
      <c r="E42">
        <v>23.313532722124826</v>
      </c>
      <c r="F42">
        <v>35.788704377173673</v>
      </c>
      <c r="I42">
        <v>1</v>
      </c>
    </row>
    <row r="43" spans="1:17">
      <c r="A43" s="24">
        <v>1312</v>
      </c>
      <c r="B43">
        <v>21</v>
      </c>
      <c r="C43">
        <v>4421</v>
      </c>
      <c r="D43">
        <v>16.793219235613073</v>
      </c>
      <c r="E43">
        <v>21.510990389509558</v>
      </c>
      <c r="F43">
        <v>32.663072405739626</v>
      </c>
      <c r="H43">
        <v>1</v>
      </c>
      <c r="I43">
        <v>1</v>
      </c>
    </row>
    <row r="44" spans="1:17">
      <c r="A44" s="24">
        <v>1313</v>
      </c>
      <c r="B44">
        <v>11</v>
      </c>
      <c r="C44">
        <v>529</v>
      </c>
      <c r="D44">
        <v>2.6396276797153169</v>
      </c>
      <c r="E44">
        <v>3.7207253253009189</v>
      </c>
      <c r="F44">
        <v>6.4234317460352459</v>
      </c>
    </row>
    <row r="45" spans="1:17">
      <c r="A45" s="24">
        <v>1314</v>
      </c>
      <c r="B45">
        <v>10</v>
      </c>
      <c r="C45">
        <v>5457</v>
      </c>
      <c r="D45">
        <v>4.0491192580260256</v>
      </c>
      <c r="E45">
        <v>5.5226898224334917</v>
      </c>
      <c r="F45">
        <v>9.1516246867241851</v>
      </c>
    </row>
    <row r="46" spans="1:17">
      <c r="A46" s="24">
        <v>1315</v>
      </c>
      <c r="B46">
        <v>31</v>
      </c>
      <c r="C46">
        <v>28</v>
      </c>
      <c r="D46">
        <v>12.97575567708936</v>
      </c>
      <c r="E46">
        <v>17.05478819240626</v>
      </c>
      <c r="F46">
        <v>26.884965272440617</v>
      </c>
    </row>
    <row r="47" spans="1:17">
      <c r="A47" s="24">
        <v>1316</v>
      </c>
      <c r="B47">
        <v>16</v>
      </c>
      <c r="C47">
        <v>1049</v>
      </c>
      <c r="D47">
        <v>4.0014510767264415</v>
      </c>
      <c r="E47">
        <v>4.9413870288800279</v>
      </c>
      <c r="F47">
        <v>7.0834149655181644</v>
      </c>
    </row>
    <row r="48" spans="1:17">
      <c r="A48" s="24">
        <v>1319</v>
      </c>
      <c r="B48">
        <v>46</v>
      </c>
      <c r="C48">
        <v>1384</v>
      </c>
      <c r="D48">
        <v>23.29349640778765</v>
      </c>
      <c r="E48">
        <v>30.579585138389923</v>
      </c>
      <c r="F48">
        <v>48.124436960182791</v>
      </c>
      <c r="I48">
        <v>1</v>
      </c>
    </row>
    <row r="49" spans="1:9">
      <c r="A49" s="24">
        <v>1321</v>
      </c>
      <c r="B49">
        <v>28</v>
      </c>
      <c r="C49">
        <v>59</v>
      </c>
      <c r="D49">
        <v>0</v>
      </c>
      <c r="E49">
        <v>0</v>
      </c>
      <c r="F49">
        <v>0</v>
      </c>
    </row>
    <row r="50" spans="1:9">
      <c r="A50" s="24">
        <v>1323</v>
      </c>
      <c r="B50">
        <v>34</v>
      </c>
      <c r="C50">
        <v>91</v>
      </c>
      <c r="D50">
        <v>33.542776556036429</v>
      </c>
      <c r="E50">
        <v>43.823453546452328</v>
      </c>
      <c r="F50">
        <v>68.496989174920586</v>
      </c>
      <c r="H50">
        <v>1</v>
      </c>
      <c r="I50">
        <v>1</v>
      </c>
    </row>
    <row r="51" spans="1:9">
      <c r="A51" s="24">
        <v>1324</v>
      </c>
      <c r="B51">
        <v>11</v>
      </c>
      <c r="C51">
        <v>47</v>
      </c>
      <c r="D51">
        <v>7.0762140569705512</v>
      </c>
      <c r="E51">
        <v>9.6862725019758606</v>
      </c>
      <c r="F51">
        <v>16.125676874359922</v>
      </c>
      <c r="I51">
        <v>1</v>
      </c>
    </row>
    <row r="52" spans="1:9">
      <c r="A52" s="24">
        <v>1325</v>
      </c>
      <c r="B52">
        <v>16</v>
      </c>
      <c r="C52">
        <v>38</v>
      </c>
      <c r="D52">
        <v>8.1568871618978349</v>
      </c>
      <c r="E52">
        <v>10.907659875615092</v>
      </c>
      <c r="F52">
        <v>17.609096528593565</v>
      </c>
      <c r="I52">
        <v>1</v>
      </c>
    </row>
    <row r="53" spans="1:9">
      <c r="A53" s="24">
        <v>1326</v>
      </c>
      <c r="B53">
        <v>96</v>
      </c>
      <c r="C53">
        <v>6088</v>
      </c>
      <c r="D53">
        <v>71.859139822960742</v>
      </c>
      <c r="E53">
        <v>92.229675506449183</v>
      </c>
      <c r="F53">
        <v>140.46175511315533</v>
      </c>
      <c r="I53">
        <v>1</v>
      </c>
    </row>
    <row r="54" spans="1:9">
      <c r="A54" s="24">
        <v>1333</v>
      </c>
      <c r="B54">
        <v>2</v>
      </c>
      <c r="C54">
        <v>34</v>
      </c>
      <c r="D54">
        <v>0</v>
      </c>
      <c r="E54">
        <v>0</v>
      </c>
      <c r="F54">
        <v>0</v>
      </c>
    </row>
    <row r="55" spans="1:9">
      <c r="A55" s="24">
        <v>1336</v>
      </c>
      <c r="B55">
        <v>15</v>
      </c>
      <c r="C55">
        <v>130</v>
      </c>
      <c r="D55">
        <v>7.3334646916871744</v>
      </c>
      <c r="E55">
        <v>10.039035171511479</v>
      </c>
      <c r="F55">
        <v>16.714288409818884</v>
      </c>
      <c r="I55">
        <v>1</v>
      </c>
    </row>
    <row r="56" spans="1:9">
      <c r="A56" s="24">
        <v>1337</v>
      </c>
      <c r="B56">
        <v>6</v>
      </c>
      <c r="C56">
        <v>355</v>
      </c>
      <c r="D56">
        <v>-3.9023013045330077</v>
      </c>
      <c r="E56">
        <v>-4.6152801897414406</v>
      </c>
      <c r="F56">
        <v>-6.1345241520029603</v>
      </c>
    </row>
    <row r="57" spans="1:9">
      <c r="A57" s="24">
        <v>1338</v>
      </c>
      <c r="B57">
        <v>68</v>
      </c>
      <c r="C57">
        <v>142</v>
      </c>
      <c r="D57">
        <v>45.909403540338516</v>
      </c>
      <c r="E57">
        <v>59.949986322907421</v>
      </c>
      <c r="F57">
        <v>93.635187479203239</v>
      </c>
      <c r="I57">
        <v>1</v>
      </c>
    </row>
    <row r="58" spans="1:9">
      <c r="A58" s="24">
        <v>1339</v>
      </c>
      <c r="B58">
        <v>36</v>
      </c>
      <c r="C58">
        <v>43</v>
      </c>
      <c r="D58">
        <v>24.795842253759613</v>
      </c>
      <c r="E58">
        <v>32.093786705371784</v>
      </c>
      <c r="F58">
        <v>49.488878640844746</v>
      </c>
      <c r="I58">
        <v>1</v>
      </c>
    </row>
    <row r="59" spans="1:9">
      <c r="A59" s="24">
        <v>1340</v>
      </c>
      <c r="B59">
        <v>19</v>
      </c>
      <c r="C59">
        <v>142</v>
      </c>
      <c r="D59">
        <v>5.3022509937515814</v>
      </c>
      <c r="E59">
        <v>6.8196607719948013</v>
      </c>
      <c r="F59">
        <v>10.418645595399781</v>
      </c>
    </row>
    <row r="60" spans="1:9">
      <c r="A60" s="24">
        <v>1341</v>
      </c>
      <c r="B60">
        <v>55</v>
      </c>
      <c r="C60">
        <v>10</v>
      </c>
      <c r="D60">
        <v>13.354652028301103</v>
      </c>
      <c r="E60">
        <v>18.233651998886543</v>
      </c>
      <c r="F60">
        <v>30.255406471004164</v>
      </c>
    </row>
    <row r="61" spans="1:9">
      <c r="A61" s="24">
        <v>1402</v>
      </c>
      <c r="B61">
        <v>30</v>
      </c>
      <c r="C61">
        <v>7736</v>
      </c>
      <c r="D61">
        <v>28.355782085085458</v>
      </c>
      <c r="E61">
        <v>37.031280313111722</v>
      </c>
      <c r="F61">
        <v>57.846285620169951</v>
      </c>
      <c r="H61">
        <v>1</v>
      </c>
      <c r="I61">
        <v>1</v>
      </c>
    </row>
    <row r="62" spans="1:9">
      <c r="A62" s="24">
        <v>1409</v>
      </c>
      <c r="B62">
        <v>13</v>
      </c>
      <c r="C62">
        <v>1462</v>
      </c>
      <c r="D62">
        <v>12.615350833494075</v>
      </c>
      <c r="E62">
        <v>16.248960891193924</v>
      </c>
      <c r="F62">
        <v>24.877061081647987</v>
      </c>
      <c r="H62">
        <v>1</v>
      </c>
      <c r="I62">
        <v>1</v>
      </c>
    </row>
    <row r="63" spans="1:9">
      <c r="A63" s="24">
        <v>1410</v>
      </c>
      <c r="B63">
        <v>26</v>
      </c>
      <c r="C63">
        <v>35</v>
      </c>
      <c r="D63">
        <v>19.721490884648539</v>
      </c>
      <c r="E63">
        <v>25.786804120097386</v>
      </c>
      <c r="F63">
        <v>40.351760162415708</v>
      </c>
      <c r="I63">
        <v>1</v>
      </c>
    </row>
    <row r="64" spans="1:9">
      <c r="A64" s="24">
        <v>1413</v>
      </c>
      <c r="B64">
        <v>12</v>
      </c>
      <c r="C64">
        <v>153</v>
      </c>
      <c r="D64">
        <v>3.6411119828389111</v>
      </c>
      <c r="E64">
        <v>5.220997573230715</v>
      </c>
      <c r="F64">
        <v>9.1970007881235194</v>
      </c>
    </row>
    <row r="65" spans="1:9">
      <c r="A65" s="24">
        <v>1414</v>
      </c>
      <c r="B65">
        <v>7</v>
      </c>
      <c r="C65">
        <v>106</v>
      </c>
      <c r="D65">
        <v>0.19817077605835598</v>
      </c>
      <c r="E65">
        <v>0.70326272573992643</v>
      </c>
      <c r="F65">
        <v>2.0920036434986971</v>
      </c>
    </row>
    <row r="66" spans="1:9">
      <c r="A66" s="24">
        <v>1416</v>
      </c>
      <c r="B66">
        <v>16</v>
      </c>
      <c r="C66">
        <v>61</v>
      </c>
      <c r="D66">
        <v>-5.8434759898556035</v>
      </c>
      <c r="E66">
        <v>-5.8786405608107692</v>
      </c>
      <c r="F66">
        <v>-5.2655120453814721</v>
      </c>
    </row>
    <row r="67" spans="1:9">
      <c r="A67" s="24">
        <v>1417</v>
      </c>
      <c r="B67">
        <v>6</v>
      </c>
      <c r="C67">
        <v>1950</v>
      </c>
      <c r="D67">
        <v>0</v>
      </c>
      <c r="E67">
        <v>0</v>
      </c>
      <c r="F67">
        <v>0</v>
      </c>
    </row>
    <row r="68" spans="1:9">
      <c r="A68" s="24">
        <v>1418</v>
      </c>
      <c r="B68">
        <v>8</v>
      </c>
      <c r="C68">
        <v>30</v>
      </c>
      <c r="D68">
        <v>0</v>
      </c>
      <c r="E68">
        <v>0</v>
      </c>
      <c r="F68">
        <v>0</v>
      </c>
    </row>
    <row r="69" spans="1:9">
      <c r="A69" s="24">
        <v>1419</v>
      </c>
      <c r="B69">
        <v>41</v>
      </c>
      <c r="C69">
        <v>14</v>
      </c>
      <c r="D69">
        <v>6.9673398669668396</v>
      </c>
      <c r="E69">
        <v>8.8596954375375283</v>
      </c>
      <c r="F69">
        <v>13.304759763971543</v>
      </c>
    </row>
    <row r="70" spans="1:9">
      <c r="A70" s="24">
        <v>1423</v>
      </c>
      <c r="B70">
        <v>10</v>
      </c>
      <c r="C70">
        <v>59</v>
      </c>
      <c r="D70">
        <v>3.2404718293873809</v>
      </c>
      <c r="E70">
        <v>4.6465188758525784</v>
      </c>
      <c r="F70">
        <v>8.1850330638639743</v>
      </c>
    </row>
    <row r="71" spans="1:9">
      <c r="A71" s="24">
        <v>1432</v>
      </c>
      <c r="B71">
        <v>7</v>
      </c>
      <c r="C71">
        <v>81</v>
      </c>
      <c r="D71">
        <v>0</v>
      </c>
      <c r="E71">
        <v>0</v>
      </c>
      <c r="F71">
        <v>0</v>
      </c>
    </row>
    <row r="72" spans="1:9">
      <c r="A72" s="24">
        <v>1434</v>
      </c>
      <c r="B72">
        <v>36</v>
      </c>
      <c r="C72">
        <v>1058</v>
      </c>
      <c r="D72">
        <v>26.723592550756802</v>
      </c>
      <c r="E72">
        <v>34.648956911813571</v>
      </c>
      <c r="F72">
        <v>53.56438103670456</v>
      </c>
      <c r="I72">
        <v>1</v>
      </c>
    </row>
    <row r="73" spans="1:9">
      <c r="A73" s="24">
        <v>1435</v>
      </c>
      <c r="B73">
        <v>5</v>
      </c>
      <c r="C73">
        <v>73</v>
      </c>
      <c r="D73">
        <v>-3.3330567387984491</v>
      </c>
      <c r="E73">
        <v>-4.7792765580197951</v>
      </c>
      <c r="F73">
        <v>-8.4188911514029456</v>
      </c>
    </row>
    <row r="74" spans="1:9">
      <c r="A74" s="24">
        <v>1436</v>
      </c>
      <c r="B74">
        <v>42</v>
      </c>
      <c r="C74">
        <v>10</v>
      </c>
      <c r="D74">
        <v>25.96576835994604</v>
      </c>
      <c r="E74">
        <v>34.039859395043059</v>
      </c>
      <c r="F74">
        <v>53.463581146686693</v>
      </c>
      <c r="I74">
        <v>1</v>
      </c>
    </row>
    <row r="75" spans="1:9">
      <c r="A75" s="24">
        <v>1437</v>
      </c>
      <c r="B75">
        <v>23</v>
      </c>
      <c r="C75">
        <v>541</v>
      </c>
      <c r="D75">
        <v>7.8212752647197767</v>
      </c>
      <c r="E75">
        <v>10.698070093579449</v>
      </c>
      <c r="F75">
        <v>17.792886057549403</v>
      </c>
    </row>
    <row r="76" spans="1:9">
      <c r="A76" s="24">
        <v>1438</v>
      </c>
      <c r="B76">
        <v>12</v>
      </c>
      <c r="C76">
        <v>50</v>
      </c>
      <c r="D76">
        <v>0</v>
      </c>
      <c r="E76">
        <v>0</v>
      </c>
      <c r="F76">
        <v>0</v>
      </c>
    </row>
    <row r="77" spans="1:9">
      <c r="A77" s="24">
        <v>1439</v>
      </c>
      <c r="B77">
        <v>31</v>
      </c>
      <c r="C77">
        <v>66</v>
      </c>
      <c r="D77">
        <v>-87.142886298338595</v>
      </c>
      <c r="E77">
        <v>-103.06452665313688</v>
      </c>
      <c r="F77">
        <v>-136.99099555726895</v>
      </c>
    </row>
    <row r="78" spans="1:9">
      <c r="A78" s="24">
        <v>1440</v>
      </c>
      <c r="B78">
        <v>12</v>
      </c>
      <c r="C78">
        <v>330</v>
      </c>
      <c r="D78">
        <v>6.7468998534984301</v>
      </c>
      <c r="E78">
        <v>8.8495418948940259</v>
      </c>
      <c r="F78">
        <v>13.909671087591214</v>
      </c>
      <c r="I78">
        <v>1</v>
      </c>
    </row>
    <row r="79" spans="1:9">
      <c r="A79" s="24">
        <v>1441</v>
      </c>
      <c r="B79">
        <v>15</v>
      </c>
      <c r="C79">
        <v>649</v>
      </c>
      <c r="D79">
        <v>9.8953509043238093</v>
      </c>
      <c r="E79">
        <v>12.919354199819557</v>
      </c>
      <c r="F79">
        <v>20.173413182635272</v>
      </c>
      <c r="I79">
        <v>1</v>
      </c>
    </row>
    <row r="80" spans="1:9">
      <c r="A80" s="24">
        <v>1442</v>
      </c>
      <c r="B80">
        <v>16</v>
      </c>
      <c r="C80">
        <v>88</v>
      </c>
      <c r="D80">
        <v>5.6540441581304854</v>
      </c>
      <c r="E80">
        <v>7.3175508855676679</v>
      </c>
      <c r="F80">
        <v>11.282372016089738</v>
      </c>
    </row>
    <row r="81" spans="1:9">
      <c r="A81" s="24">
        <v>1443</v>
      </c>
      <c r="B81">
        <v>9</v>
      </c>
      <c r="C81">
        <v>300</v>
      </c>
      <c r="D81">
        <v>0</v>
      </c>
      <c r="E81">
        <v>0</v>
      </c>
      <c r="F81">
        <v>0</v>
      </c>
    </row>
    <row r="82" spans="1:9">
      <c r="A82" s="24">
        <v>1444</v>
      </c>
      <c r="B82">
        <v>9</v>
      </c>
      <c r="C82">
        <v>660</v>
      </c>
      <c r="D82">
        <v>-22.441795705212769</v>
      </c>
      <c r="E82">
        <v>-25.825903544946296</v>
      </c>
      <c r="F82">
        <v>-32.559630029785957</v>
      </c>
    </row>
    <row r="83" spans="1:9">
      <c r="A83" s="24">
        <v>1445</v>
      </c>
      <c r="B83">
        <v>7</v>
      </c>
      <c r="C83">
        <v>20</v>
      </c>
      <c r="D83">
        <v>-1.142497379115238</v>
      </c>
      <c r="E83">
        <v>-1.3512399758924032</v>
      </c>
      <c r="F83">
        <v>-1.7960370609109706</v>
      </c>
    </row>
    <row r="84" spans="1:9">
      <c r="A84" s="24">
        <v>1446</v>
      </c>
      <c r="B84">
        <v>31</v>
      </c>
      <c r="C84">
        <v>231</v>
      </c>
      <c r="D84">
        <v>-4.50660866821617E-2</v>
      </c>
      <c r="E84">
        <v>-5.3299989124812652E-2</v>
      </c>
      <c r="F84">
        <v>-7.0845118204183377E-2</v>
      </c>
    </row>
    <row r="85" spans="1:9">
      <c r="A85" s="24">
        <v>1447</v>
      </c>
      <c r="B85">
        <v>7</v>
      </c>
      <c r="C85">
        <v>200</v>
      </c>
      <c r="D85">
        <v>1.0682582874541453</v>
      </c>
      <c r="E85">
        <v>1.4163952767962269</v>
      </c>
      <c r="F85">
        <v>2.2601529601703736</v>
      </c>
    </row>
    <row r="86" spans="1:9">
      <c r="A86" s="24">
        <v>1449</v>
      </c>
      <c r="B86">
        <v>5</v>
      </c>
      <c r="C86">
        <v>23</v>
      </c>
      <c r="D86">
        <v>-7.3352498683405249</v>
      </c>
      <c r="E86">
        <v>-10.518029091702653</v>
      </c>
      <c r="F86">
        <v>-18.527938480928452</v>
      </c>
    </row>
    <row r="87" spans="1:9">
      <c r="A87" s="24">
        <v>1451</v>
      </c>
      <c r="B87">
        <v>26</v>
      </c>
      <c r="C87">
        <v>224</v>
      </c>
      <c r="D87">
        <v>24.230247173834325</v>
      </c>
      <c r="E87">
        <v>30.71446268266137</v>
      </c>
      <c r="F87">
        <v>45.902215018112187</v>
      </c>
      <c r="H87">
        <v>1</v>
      </c>
      <c r="I87">
        <v>1</v>
      </c>
    </row>
    <row r="88" spans="1:9">
      <c r="A88" s="24">
        <v>1452</v>
      </c>
      <c r="B88">
        <v>19</v>
      </c>
      <c r="C88">
        <v>104</v>
      </c>
      <c r="D88">
        <v>13.206750648689589</v>
      </c>
      <c r="E88">
        <v>16.957394840020562</v>
      </c>
      <c r="F88">
        <v>25.840861154500875</v>
      </c>
      <c r="I88">
        <v>1</v>
      </c>
    </row>
    <row r="89" spans="1:9">
      <c r="A89" s="24">
        <v>1453</v>
      </c>
      <c r="B89">
        <v>9</v>
      </c>
      <c r="C89">
        <v>18</v>
      </c>
      <c r="D89">
        <v>4.5898733754316616</v>
      </c>
      <c r="E89">
        <v>5.981002710752886</v>
      </c>
      <c r="F89">
        <v>9.3134872177720496</v>
      </c>
      <c r="I89">
        <v>1</v>
      </c>
    </row>
    <row r="90" spans="1:9">
      <c r="A90" s="24">
        <v>1454</v>
      </c>
      <c r="B90">
        <v>8</v>
      </c>
      <c r="C90">
        <v>35</v>
      </c>
      <c r="D90">
        <v>1.593814354441822</v>
      </c>
      <c r="E90">
        <v>2.1514123264788205</v>
      </c>
      <c r="F90">
        <v>3.51709443377292</v>
      </c>
    </row>
    <row r="91" spans="1:9">
      <c r="A91" s="24">
        <v>1455</v>
      </c>
      <c r="B91">
        <v>9</v>
      </c>
      <c r="C91">
        <v>797</v>
      </c>
      <c r="D91">
        <v>1.67921753964136</v>
      </c>
      <c r="E91">
        <v>2.1170374807865464</v>
      </c>
      <c r="F91">
        <v>3.1372715900729462</v>
      </c>
    </row>
    <row r="92" spans="1:9">
      <c r="A92" s="24">
        <v>1456</v>
      </c>
      <c r="B92">
        <v>9</v>
      </c>
      <c r="C92">
        <v>7</v>
      </c>
      <c r="D92">
        <v>1.2241782466574547</v>
      </c>
      <c r="E92">
        <v>1.7553515753220847</v>
      </c>
      <c r="F92">
        <v>3.0921236019041678</v>
      </c>
    </row>
    <row r="93" spans="1:9">
      <c r="A93" s="24">
        <v>1457</v>
      </c>
      <c r="B93">
        <v>14</v>
      </c>
      <c r="C93">
        <v>402</v>
      </c>
      <c r="D93">
        <v>12.252563891076553</v>
      </c>
      <c r="E93">
        <v>15.038789355147985</v>
      </c>
      <c r="F93">
        <v>21.340712971749639</v>
      </c>
      <c r="H93">
        <v>1</v>
      </c>
      <c r="I93">
        <v>1</v>
      </c>
    </row>
    <row r="94" spans="1:9">
      <c r="A94" s="24">
        <v>1459</v>
      </c>
      <c r="B94">
        <v>8</v>
      </c>
      <c r="C94">
        <v>33</v>
      </c>
      <c r="D94">
        <v>-6.9242197835294883</v>
      </c>
      <c r="E94">
        <v>-9.4822525325546057</v>
      </c>
      <c r="F94">
        <v>-15.79463446988478</v>
      </c>
    </row>
    <row r="95" spans="1:9">
      <c r="A95" s="24">
        <v>1460</v>
      </c>
      <c r="B95">
        <v>12</v>
      </c>
      <c r="C95">
        <v>310</v>
      </c>
      <c r="D95">
        <v>5.7160766938187653</v>
      </c>
      <c r="E95">
        <v>7.6999371286028033</v>
      </c>
      <c r="F95">
        <v>12.553315588777297</v>
      </c>
      <c r="I95">
        <v>1</v>
      </c>
    </row>
    <row r="96" spans="1:9">
      <c r="A96" s="24">
        <v>1463</v>
      </c>
      <c r="B96">
        <v>14</v>
      </c>
      <c r="C96">
        <v>99</v>
      </c>
      <c r="D96">
        <v>15.155350532216897</v>
      </c>
      <c r="E96">
        <v>19.213232342312022</v>
      </c>
      <c r="F96">
        <v>28.718861411706122</v>
      </c>
      <c r="G96">
        <v>1</v>
      </c>
      <c r="H96">
        <v>1</v>
      </c>
      <c r="I96">
        <v>1</v>
      </c>
    </row>
    <row r="97" spans="1:9">
      <c r="A97" s="24">
        <v>1464</v>
      </c>
      <c r="B97">
        <v>24</v>
      </c>
      <c r="C97">
        <v>568</v>
      </c>
      <c r="D97">
        <v>14.377536557932114</v>
      </c>
      <c r="E97">
        <v>18.568263232902154</v>
      </c>
      <c r="F97">
        <v>28.540198418821447</v>
      </c>
      <c r="I97">
        <v>1</v>
      </c>
    </row>
    <row r="98" spans="1:9">
      <c r="A98" s="24">
        <v>1465</v>
      </c>
      <c r="B98">
        <v>15</v>
      </c>
      <c r="C98">
        <v>34</v>
      </c>
      <c r="D98">
        <v>0.87919537285604721</v>
      </c>
      <c r="E98">
        <v>1.1227096776960446</v>
      </c>
      <c r="F98">
        <v>1.6968312718290854</v>
      </c>
    </row>
    <row r="99" spans="1:9">
      <c r="A99" s="24">
        <v>1466</v>
      </c>
      <c r="B99">
        <v>9</v>
      </c>
      <c r="C99">
        <v>5</v>
      </c>
      <c r="D99">
        <v>-1.0814017336957269</v>
      </c>
      <c r="E99">
        <v>-1.2789817108382442</v>
      </c>
      <c r="F99">
        <v>-1.6999930388943134</v>
      </c>
    </row>
    <row r="100" spans="1:9">
      <c r="A100" s="24">
        <v>1467</v>
      </c>
      <c r="B100">
        <v>9</v>
      </c>
      <c r="C100">
        <v>140</v>
      </c>
      <c r="D100">
        <v>3.7457371954958467</v>
      </c>
      <c r="E100">
        <v>5.3006873928470633</v>
      </c>
      <c r="F100">
        <v>9.1942010027466026</v>
      </c>
      <c r="I100">
        <v>1</v>
      </c>
    </row>
    <row r="101" spans="1:9">
      <c r="A101" s="24">
        <v>1468</v>
      </c>
      <c r="B101">
        <v>10</v>
      </c>
      <c r="C101">
        <v>15</v>
      </c>
      <c r="D101">
        <v>1.6607418125610325</v>
      </c>
      <c r="E101">
        <v>2.3813409238744461</v>
      </c>
      <c r="F101">
        <v>4.1948294452302868</v>
      </c>
    </row>
    <row r="102" spans="1:9">
      <c r="A102" s="24">
        <v>1470</v>
      </c>
      <c r="B102">
        <v>21</v>
      </c>
      <c r="C102">
        <v>0</v>
      </c>
      <c r="D102">
        <v>8.6563632236881887</v>
      </c>
      <c r="E102">
        <v>11.692435730551527</v>
      </c>
      <c r="F102">
        <v>19.131112596673916</v>
      </c>
    </row>
    <row r="103" spans="1:9">
      <c r="A103" s="24">
        <v>1471</v>
      </c>
      <c r="B103">
        <v>4</v>
      </c>
      <c r="C103">
        <v>152</v>
      </c>
      <c r="D103">
        <v>0</v>
      </c>
      <c r="E103">
        <v>0</v>
      </c>
      <c r="F103">
        <v>0</v>
      </c>
    </row>
    <row r="104" spans="1:9">
      <c r="A104" s="24">
        <v>1472</v>
      </c>
      <c r="B104">
        <v>33</v>
      </c>
      <c r="C104">
        <v>51</v>
      </c>
      <c r="D104">
        <v>0</v>
      </c>
      <c r="E104">
        <v>0</v>
      </c>
      <c r="F104">
        <v>0</v>
      </c>
    </row>
    <row r="105" spans="1:9">
      <c r="A105" s="24">
        <v>1473</v>
      </c>
      <c r="B105">
        <v>26</v>
      </c>
      <c r="C105">
        <v>371</v>
      </c>
      <c r="D105">
        <v>8.4321875300473135</v>
      </c>
      <c r="E105">
        <v>10.895330765354331</v>
      </c>
      <c r="F105">
        <v>16.75867489175161</v>
      </c>
    </row>
    <row r="106" spans="1:9">
      <c r="A106" s="24">
        <v>1474</v>
      </c>
      <c r="B106">
        <v>10</v>
      </c>
      <c r="C106">
        <v>95</v>
      </c>
      <c r="D106">
        <v>7.6875579892023582</v>
      </c>
      <c r="E106">
        <v>10.082579287439389</v>
      </c>
      <c r="F106">
        <v>15.846034087717575</v>
      </c>
      <c r="H106">
        <v>1</v>
      </c>
      <c r="I106">
        <v>1</v>
      </c>
    </row>
    <row r="107" spans="1:9">
      <c r="A107" s="24">
        <v>1475</v>
      </c>
      <c r="B107">
        <v>5</v>
      </c>
      <c r="C107">
        <v>0</v>
      </c>
      <c r="D107">
        <v>0</v>
      </c>
      <c r="E107">
        <v>0</v>
      </c>
      <c r="F107">
        <v>0</v>
      </c>
    </row>
    <row r="108" spans="1:9">
      <c r="A108" s="24">
        <v>1476</v>
      </c>
      <c r="B108">
        <v>408</v>
      </c>
      <c r="C108">
        <v>202</v>
      </c>
      <c r="D108">
        <v>212.28085961129381</v>
      </c>
      <c r="E108">
        <v>284.06584590535851</v>
      </c>
      <c r="F108">
        <v>459.0196091791679</v>
      </c>
      <c r="I108">
        <v>1</v>
      </c>
    </row>
    <row r="109" spans="1:9">
      <c r="A109" s="24">
        <v>1477</v>
      </c>
      <c r="B109">
        <v>186</v>
      </c>
      <c r="C109">
        <v>1859</v>
      </c>
      <c r="D109">
        <v>105.19386130204146</v>
      </c>
      <c r="E109">
        <v>139.52246459101661</v>
      </c>
      <c r="F109">
        <v>222.74000362225155</v>
      </c>
      <c r="I109">
        <v>1</v>
      </c>
    </row>
    <row r="110" spans="1:9">
      <c r="A110" s="24">
        <v>1503</v>
      </c>
      <c r="B110">
        <v>47</v>
      </c>
      <c r="C110">
        <v>396</v>
      </c>
      <c r="D110">
        <v>29.584101620031554</v>
      </c>
      <c r="E110">
        <v>39.262776025008172</v>
      </c>
      <c r="F110">
        <v>62.734360427754154</v>
      </c>
      <c r="I110">
        <v>1</v>
      </c>
    </row>
    <row r="111" spans="1:9">
      <c r="A111" s="24">
        <v>1504</v>
      </c>
      <c r="B111">
        <v>24</v>
      </c>
      <c r="C111">
        <v>6093</v>
      </c>
      <c r="D111">
        <v>13.316229822521905</v>
      </c>
      <c r="E111">
        <v>17.520145113448578</v>
      </c>
      <c r="F111">
        <v>27.658195279833258</v>
      </c>
      <c r="I111">
        <v>1</v>
      </c>
    </row>
    <row r="112" spans="1:9">
      <c r="A112" s="24">
        <v>1506</v>
      </c>
      <c r="B112">
        <v>16</v>
      </c>
      <c r="C112">
        <v>29</v>
      </c>
      <c r="D112">
        <v>0</v>
      </c>
      <c r="E112">
        <v>0</v>
      </c>
      <c r="F112">
        <v>0</v>
      </c>
    </row>
    <row r="113" spans="1:9">
      <c r="A113" s="24">
        <v>1507</v>
      </c>
      <c r="B113">
        <v>66</v>
      </c>
      <c r="C113">
        <v>93</v>
      </c>
      <c r="D113">
        <v>35.205398722281345</v>
      </c>
      <c r="E113">
        <v>47.921281399722631</v>
      </c>
      <c r="F113">
        <v>79.204264707361347</v>
      </c>
      <c r="I113">
        <v>1</v>
      </c>
    </row>
    <row r="114" spans="1:9">
      <c r="A114" s="24">
        <v>1512</v>
      </c>
      <c r="B114">
        <v>6</v>
      </c>
      <c r="C114">
        <v>111</v>
      </c>
      <c r="D114">
        <v>0</v>
      </c>
      <c r="E114">
        <v>0</v>
      </c>
      <c r="F114">
        <v>0</v>
      </c>
    </row>
    <row r="115" spans="1:9">
      <c r="A115" s="24">
        <v>1513</v>
      </c>
      <c r="B115">
        <v>21</v>
      </c>
      <c r="C115">
        <v>602</v>
      </c>
      <c r="D115">
        <v>13.445088990386672</v>
      </c>
      <c r="E115">
        <v>17.614153494091234</v>
      </c>
      <c r="F115">
        <v>27.63902750161531</v>
      </c>
      <c r="I115">
        <v>1</v>
      </c>
    </row>
    <row r="116" spans="1:9">
      <c r="A116" s="24">
        <v>1514</v>
      </c>
      <c r="B116">
        <v>18</v>
      </c>
      <c r="C116">
        <v>1287</v>
      </c>
      <c r="D116">
        <v>10.846106648022229</v>
      </c>
      <c r="E116">
        <v>14.091672646387819</v>
      </c>
      <c r="F116">
        <v>21.849735961014055</v>
      </c>
      <c r="I116">
        <v>1</v>
      </c>
    </row>
    <row r="117" spans="1:9">
      <c r="A117" s="24">
        <v>1515</v>
      </c>
      <c r="B117">
        <v>90</v>
      </c>
      <c r="C117">
        <v>1030</v>
      </c>
      <c r="D117">
        <v>31.906155519683857</v>
      </c>
      <c r="E117">
        <v>42.741260087479553</v>
      </c>
      <c r="F117">
        <v>69.164942306848104</v>
      </c>
    </row>
    <row r="118" spans="1:9">
      <c r="A118" s="24">
        <v>1516</v>
      </c>
      <c r="B118">
        <v>16</v>
      </c>
      <c r="C118">
        <v>3</v>
      </c>
      <c r="D118">
        <v>5.6870398402018889</v>
      </c>
      <c r="E118">
        <v>7.6338247839514644</v>
      </c>
      <c r="F118">
        <v>12.387029204623651</v>
      </c>
    </row>
    <row r="119" spans="1:9">
      <c r="A119" s="24">
        <v>1517</v>
      </c>
      <c r="B119">
        <v>10</v>
      </c>
      <c r="C119">
        <v>178</v>
      </c>
      <c r="D119">
        <v>4.1492859800191013</v>
      </c>
      <c r="E119">
        <v>5.4237752367890373</v>
      </c>
      <c r="F119">
        <v>8.483633201588054</v>
      </c>
    </row>
    <row r="120" spans="1:9">
      <c r="A120" s="24">
        <v>1519</v>
      </c>
      <c r="B120">
        <v>28</v>
      </c>
      <c r="C120">
        <v>1036</v>
      </c>
      <c r="D120">
        <v>3.1228309628754323</v>
      </c>
      <c r="E120">
        <v>4.1203123644326398</v>
      </c>
      <c r="F120">
        <v>6.5302889156912105</v>
      </c>
    </row>
    <row r="121" spans="1:9">
      <c r="A121" s="24">
        <v>1521</v>
      </c>
      <c r="B121">
        <v>61</v>
      </c>
      <c r="C121">
        <v>16</v>
      </c>
      <c r="D121">
        <v>36.301332896244304</v>
      </c>
      <c r="E121">
        <v>46.708726002310009</v>
      </c>
      <c r="F121">
        <v>71.400841038070638</v>
      </c>
      <c r="I121">
        <v>1</v>
      </c>
    </row>
    <row r="122" spans="1:9">
      <c r="A122" s="24">
        <v>1522</v>
      </c>
      <c r="B122">
        <v>28</v>
      </c>
      <c r="C122">
        <v>2276</v>
      </c>
      <c r="D122">
        <v>16.262560927722312</v>
      </c>
      <c r="E122">
        <v>21.356427683383117</v>
      </c>
      <c r="F122">
        <v>33.625156333362675</v>
      </c>
      <c r="I122">
        <v>1</v>
      </c>
    </row>
    <row r="123" spans="1:9">
      <c r="A123" s="24">
        <v>1524</v>
      </c>
      <c r="B123">
        <v>10</v>
      </c>
      <c r="C123">
        <v>265</v>
      </c>
      <c r="D123">
        <v>5.677962490770069</v>
      </c>
      <c r="E123">
        <v>7.6329554727421005</v>
      </c>
      <c r="F123">
        <v>12.410225095813534</v>
      </c>
      <c r="I123">
        <v>1</v>
      </c>
    </row>
    <row r="124" spans="1:9">
      <c r="A124" s="24">
        <v>1525</v>
      </c>
      <c r="B124">
        <v>61</v>
      </c>
      <c r="C124">
        <v>106</v>
      </c>
      <c r="D124">
        <v>33.424323347857211</v>
      </c>
      <c r="E124">
        <v>44.659322937706911</v>
      </c>
      <c r="F124">
        <v>72.016762845755778</v>
      </c>
      <c r="I124">
        <v>1</v>
      </c>
    </row>
    <row r="125" spans="1:9">
      <c r="A125" s="24">
        <v>1526</v>
      </c>
      <c r="B125">
        <v>31</v>
      </c>
      <c r="C125">
        <v>384</v>
      </c>
      <c r="D125">
        <v>15.105978951782667</v>
      </c>
      <c r="E125">
        <v>20.485516724419302</v>
      </c>
      <c r="F125">
        <v>33.694163091683144</v>
      </c>
      <c r="I125">
        <v>1</v>
      </c>
    </row>
    <row r="126" spans="1:9">
      <c r="A126" s="24">
        <v>1527</v>
      </c>
      <c r="B126">
        <v>59</v>
      </c>
      <c r="C126">
        <v>473</v>
      </c>
      <c r="D126">
        <v>44.704602541669566</v>
      </c>
      <c r="E126">
        <v>56.789121657880557</v>
      </c>
      <c r="F126">
        <v>85.149412905147727</v>
      </c>
      <c r="I126">
        <v>1</v>
      </c>
    </row>
    <row r="127" spans="1:9">
      <c r="A127" s="24">
        <v>1528</v>
      </c>
      <c r="B127">
        <v>9</v>
      </c>
      <c r="C127">
        <v>79</v>
      </c>
      <c r="D127">
        <v>4.0721218457175965</v>
      </c>
      <c r="E127">
        <v>5.5616683162925282</v>
      </c>
      <c r="F127">
        <v>9.2324910694769464</v>
      </c>
      <c r="I127">
        <v>1</v>
      </c>
    </row>
    <row r="128" spans="1:9">
      <c r="A128" s="24">
        <v>1529</v>
      </c>
      <c r="B128">
        <v>14</v>
      </c>
      <c r="C128">
        <v>350</v>
      </c>
      <c r="D128">
        <v>2.9747859937548826</v>
      </c>
      <c r="E128">
        <v>4.2286916727651667</v>
      </c>
      <c r="F128">
        <v>7.3739774907072855</v>
      </c>
    </row>
    <row r="129" spans="1:9">
      <c r="A129" s="24">
        <v>1530</v>
      </c>
      <c r="B129">
        <v>31</v>
      </c>
      <c r="C129">
        <v>46</v>
      </c>
      <c r="D129">
        <v>23.185286067020552</v>
      </c>
      <c r="E129">
        <v>30.118671097063</v>
      </c>
      <c r="F129">
        <v>46.690097017953676</v>
      </c>
      <c r="I129">
        <v>1</v>
      </c>
    </row>
    <row r="130" spans="1:9">
      <c r="A130" s="24">
        <v>1531</v>
      </c>
      <c r="B130">
        <v>16</v>
      </c>
      <c r="C130">
        <v>84</v>
      </c>
      <c r="D130">
        <v>15.291832383218932</v>
      </c>
      <c r="E130">
        <v>20.248177425601067</v>
      </c>
      <c r="F130">
        <v>32.250417497977388</v>
      </c>
      <c r="H130">
        <v>1</v>
      </c>
      <c r="I130">
        <v>1</v>
      </c>
    </row>
    <row r="131" spans="1:9">
      <c r="A131" s="24">
        <v>1532</v>
      </c>
      <c r="B131">
        <v>33</v>
      </c>
      <c r="C131">
        <v>167</v>
      </c>
      <c r="D131">
        <v>41.493446606504961</v>
      </c>
      <c r="E131">
        <v>52.728255891535966</v>
      </c>
      <c r="F131">
        <v>79.102679345605281</v>
      </c>
      <c r="G131">
        <v>1</v>
      </c>
      <c r="H131">
        <v>1</v>
      </c>
      <c r="I131">
        <v>1</v>
      </c>
    </row>
    <row r="132" spans="1:9">
      <c r="A132" s="24">
        <v>1533</v>
      </c>
      <c r="B132">
        <v>39</v>
      </c>
      <c r="C132">
        <v>113</v>
      </c>
      <c r="D132">
        <v>16.262540610159832</v>
      </c>
      <c r="E132">
        <v>22.225605700715242</v>
      </c>
      <c r="F132">
        <v>36.925704331998752</v>
      </c>
    </row>
    <row r="133" spans="1:9">
      <c r="A133" s="24">
        <v>1535</v>
      </c>
      <c r="B133">
        <v>32</v>
      </c>
      <c r="C133">
        <v>22</v>
      </c>
      <c r="D133">
        <v>15.753905557511999</v>
      </c>
      <c r="E133">
        <v>21.084093128682809</v>
      </c>
      <c r="F133">
        <v>34.075803951053487</v>
      </c>
      <c r="I133">
        <v>1</v>
      </c>
    </row>
    <row r="134" spans="1:9">
      <c r="A134" s="24">
        <v>1536</v>
      </c>
      <c r="B134">
        <v>112</v>
      </c>
      <c r="C134">
        <v>1408</v>
      </c>
      <c r="D134">
        <v>51.980409273402365</v>
      </c>
      <c r="E134">
        <v>69.156430309926463</v>
      </c>
      <c r="F134">
        <v>110.87304862942719</v>
      </c>
    </row>
    <row r="135" spans="1:9">
      <c r="A135" s="24">
        <v>1537</v>
      </c>
      <c r="B135">
        <v>167</v>
      </c>
      <c r="C135">
        <v>53</v>
      </c>
      <c r="D135">
        <v>132.71120370761111</v>
      </c>
      <c r="E135">
        <v>171.74351208283082</v>
      </c>
      <c r="F135">
        <v>264.76803392539273</v>
      </c>
      <c r="H135">
        <v>1</v>
      </c>
      <c r="I135">
        <v>1</v>
      </c>
    </row>
    <row r="136" spans="1:9">
      <c r="A136" s="24">
        <v>1538</v>
      </c>
      <c r="B136">
        <v>5</v>
      </c>
      <c r="C136">
        <v>45</v>
      </c>
      <c r="D136">
        <v>0</v>
      </c>
      <c r="E136">
        <v>0</v>
      </c>
      <c r="F136">
        <v>0</v>
      </c>
    </row>
    <row r="137" spans="1:9">
      <c r="A137" s="24">
        <v>1539</v>
      </c>
      <c r="B137">
        <v>24</v>
      </c>
      <c r="C137">
        <v>34</v>
      </c>
      <c r="D137">
        <v>8.5635794399842471</v>
      </c>
      <c r="E137">
        <v>10.796313253538758</v>
      </c>
      <c r="F137">
        <v>15.999145893193674</v>
      </c>
    </row>
    <row r="138" spans="1:9">
      <c r="A138" s="24">
        <v>1540</v>
      </c>
      <c r="B138">
        <v>20</v>
      </c>
      <c r="C138">
        <v>322</v>
      </c>
      <c r="D138">
        <v>16.33641812648299</v>
      </c>
      <c r="E138">
        <v>20.505185098481086</v>
      </c>
      <c r="F138">
        <v>30.177183015167611</v>
      </c>
      <c r="H138">
        <v>1</v>
      </c>
      <c r="I138">
        <v>1</v>
      </c>
    </row>
    <row r="139" spans="1:9">
      <c r="A139" s="24">
        <v>1541</v>
      </c>
      <c r="B139">
        <v>35</v>
      </c>
      <c r="C139">
        <v>39</v>
      </c>
      <c r="D139">
        <v>11.803949762311644</v>
      </c>
      <c r="E139">
        <v>15.440597818513471</v>
      </c>
      <c r="F139">
        <v>24.175991013995823</v>
      </c>
    </row>
    <row r="140" spans="1:9">
      <c r="A140" s="24">
        <v>1558</v>
      </c>
      <c r="B140">
        <v>135</v>
      </c>
      <c r="C140">
        <v>56</v>
      </c>
      <c r="D140">
        <v>136.20205706957356</v>
      </c>
      <c r="E140">
        <v>173.7360647243062</v>
      </c>
      <c r="F140">
        <v>262.14441965360402</v>
      </c>
      <c r="G140">
        <v>1</v>
      </c>
      <c r="H140">
        <v>1</v>
      </c>
      <c r="I140">
        <v>1</v>
      </c>
    </row>
    <row r="141" spans="1:9">
      <c r="A141" s="24">
        <v>1560</v>
      </c>
      <c r="B141">
        <v>59</v>
      </c>
      <c r="C141">
        <v>90</v>
      </c>
      <c r="D141">
        <v>48.8100913873118</v>
      </c>
      <c r="E141">
        <v>63.265291789583145</v>
      </c>
      <c r="F141">
        <v>97.757099936743316</v>
      </c>
      <c r="H141">
        <v>1</v>
      </c>
      <c r="I141">
        <v>1</v>
      </c>
    </row>
    <row r="142" spans="1:9">
      <c r="A142" s="24">
        <v>1565</v>
      </c>
      <c r="B142">
        <v>537</v>
      </c>
      <c r="C142">
        <v>64</v>
      </c>
      <c r="D142">
        <v>363.71167208095915</v>
      </c>
      <c r="E142">
        <v>476.60623049165696</v>
      </c>
      <c r="F142">
        <v>748.11587652939704</v>
      </c>
      <c r="I142">
        <v>1</v>
      </c>
    </row>
    <row r="143" spans="1:9">
      <c r="A143" s="24">
        <v>1566</v>
      </c>
      <c r="B143">
        <v>20</v>
      </c>
      <c r="C143">
        <v>992</v>
      </c>
      <c r="D143">
        <v>19.694187199125437</v>
      </c>
      <c r="E143">
        <v>26.156220822542387</v>
      </c>
      <c r="F143">
        <v>41.83422855031251</v>
      </c>
      <c r="H143">
        <v>1</v>
      </c>
      <c r="I143">
        <v>1</v>
      </c>
    </row>
    <row r="144" spans="1:9">
      <c r="A144" s="24">
        <v>1568</v>
      </c>
      <c r="B144">
        <v>20</v>
      </c>
      <c r="C144">
        <v>89</v>
      </c>
      <c r="D144">
        <v>7.9885435572936272</v>
      </c>
      <c r="E144">
        <v>10.4959348144783</v>
      </c>
      <c r="F144">
        <v>16.537069258073</v>
      </c>
    </row>
    <row r="145" spans="1:9">
      <c r="A145" s="24">
        <v>1569</v>
      </c>
      <c r="B145">
        <v>24</v>
      </c>
      <c r="C145">
        <v>2715</v>
      </c>
      <c r="D145">
        <v>5.6275154773037599</v>
      </c>
      <c r="E145">
        <v>7.7878885827371978</v>
      </c>
      <c r="F145">
        <v>13.145800689959195</v>
      </c>
    </row>
    <row r="146" spans="1:9">
      <c r="A146" s="24">
        <v>1570</v>
      </c>
      <c r="B146">
        <v>13</v>
      </c>
      <c r="C146">
        <v>8</v>
      </c>
      <c r="D146">
        <v>8.9884691661878939</v>
      </c>
      <c r="E146">
        <v>11.885751377135941</v>
      </c>
      <c r="F146">
        <v>18.895759982074019</v>
      </c>
      <c r="I146">
        <v>1</v>
      </c>
    </row>
    <row r="147" spans="1:9">
      <c r="A147" s="24">
        <v>1580</v>
      </c>
      <c r="B147">
        <v>103</v>
      </c>
      <c r="C147">
        <v>290</v>
      </c>
      <c r="D147">
        <v>95.982716968792516</v>
      </c>
      <c r="E147">
        <v>123.71652387665794</v>
      </c>
      <c r="F147">
        <v>189.60828489196177</v>
      </c>
      <c r="H147">
        <v>1</v>
      </c>
      <c r="I147">
        <v>1</v>
      </c>
    </row>
    <row r="148" spans="1:9">
      <c r="A148" s="24">
        <v>1582</v>
      </c>
      <c r="B148">
        <v>78</v>
      </c>
      <c r="C148">
        <v>160</v>
      </c>
      <c r="D148">
        <v>89.95687622782421</v>
      </c>
      <c r="E148">
        <v>114.8162082546165</v>
      </c>
      <c r="F148">
        <v>173.40103342119028</v>
      </c>
      <c r="G148">
        <v>1</v>
      </c>
      <c r="H148">
        <v>1</v>
      </c>
      <c r="I148">
        <v>1</v>
      </c>
    </row>
    <row r="149" spans="1:9">
      <c r="A149" s="24">
        <v>1583</v>
      </c>
      <c r="B149">
        <v>56</v>
      </c>
      <c r="C149">
        <v>1</v>
      </c>
      <c r="D149">
        <v>48.256906782516026</v>
      </c>
      <c r="E149">
        <v>63.410802367153089</v>
      </c>
      <c r="F149">
        <v>99.924392507348443</v>
      </c>
      <c r="H149">
        <v>1</v>
      </c>
      <c r="I149">
        <v>1</v>
      </c>
    </row>
    <row r="150" spans="1:9">
      <c r="A150" s="24">
        <v>1584</v>
      </c>
      <c r="B150">
        <v>10</v>
      </c>
      <c r="C150">
        <v>316</v>
      </c>
      <c r="D150">
        <v>0</v>
      </c>
      <c r="E150">
        <v>0</v>
      </c>
      <c r="F150">
        <v>0</v>
      </c>
    </row>
    <row r="151" spans="1:9">
      <c r="A151" s="24">
        <v>1586</v>
      </c>
      <c r="B151">
        <v>33</v>
      </c>
      <c r="C151">
        <v>45</v>
      </c>
      <c r="D151">
        <v>10.206590902319753</v>
      </c>
      <c r="E151">
        <v>15.225617701051142</v>
      </c>
      <c r="F151">
        <v>28.022365729725031</v>
      </c>
    </row>
    <row r="152" spans="1:9">
      <c r="A152" s="24">
        <v>1587</v>
      </c>
      <c r="B152">
        <v>19</v>
      </c>
      <c r="C152">
        <v>6</v>
      </c>
      <c r="D152">
        <v>12.673214414376538</v>
      </c>
      <c r="E152">
        <v>16.688566261805729</v>
      </c>
      <c r="F152">
        <v>26.377449375032519</v>
      </c>
      <c r="I152">
        <v>1</v>
      </c>
    </row>
    <row r="153" spans="1:9">
      <c r="A153" s="24">
        <v>1589</v>
      </c>
      <c r="B153">
        <v>62</v>
      </c>
      <c r="C153">
        <v>1618</v>
      </c>
      <c r="D153">
        <v>-5.3995940564694047</v>
      </c>
      <c r="E153">
        <v>-6.3861392385361064</v>
      </c>
      <c r="F153">
        <v>-8.4883092220340934</v>
      </c>
    </row>
    <row r="154" spans="1:9">
      <c r="A154" s="24">
        <v>1590</v>
      </c>
      <c r="B154">
        <v>342</v>
      </c>
      <c r="C154">
        <v>2755</v>
      </c>
      <c r="D154">
        <v>156.20032931405842</v>
      </c>
      <c r="E154">
        <v>211.4349987148386</v>
      </c>
      <c r="F154">
        <v>346.92162083180409</v>
      </c>
      <c r="I154">
        <v>1</v>
      </c>
    </row>
    <row r="155" spans="1:9">
      <c r="A155" s="24">
        <v>1591</v>
      </c>
      <c r="B155">
        <v>32</v>
      </c>
      <c r="C155">
        <v>17</v>
      </c>
      <c r="D155">
        <v>13.430355903490344</v>
      </c>
      <c r="E155">
        <v>18.281748072071469</v>
      </c>
      <c r="F155">
        <v>30.217058953518592</v>
      </c>
    </row>
    <row r="156" spans="1:9">
      <c r="A156" s="24">
        <v>1592</v>
      </c>
      <c r="B156">
        <v>23</v>
      </c>
      <c r="C156">
        <v>173</v>
      </c>
      <c r="D156">
        <v>-7.425378374020509</v>
      </c>
      <c r="E156">
        <v>-8.7820491132097569</v>
      </c>
      <c r="F156">
        <v>-11.672897456758648</v>
      </c>
    </row>
    <row r="157" spans="1:9">
      <c r="A157" s="24">
        <v>1593</v>
      </c>
      <c r="B157">
        <v>54</v>
      </c>
      <c r="C157">
        <v>88</v>
      </c>
      <c r="D157">
        <v>40.148935025275634</v>
      </c>
      <c r="E157">
        <v>51.418719302643552</v>
      </c>
      <c r="F157">
        <v>78.054682329760709</v>
      </c>
      <c r="I157">
        <v>1</v>
      </c>
    </row>
    <row r="158" spans="1:9">
      <c r="A158" s="24">
        <v>1595</v>
      </c>
      <c r="B158">
        <v>39</v>
      </c>
      <c r="C158">
        <v>31</v>
      </c>
      <c r="D158">
        <v>35.220889568696379</v>
      </c>
      <c r="E158">
        <v>44.035811264998415</v>
      </c>
      <c r="F158">
        <v>64.404934262600904</v>
      </c>
      <c r="H158">
        <v>1</v>
      </c>
      <c r="I158">
        <v>1</v>
      </c>
    </row>
    <row r="159" spans="1:9">
      <c r="A159" s="24">
        <v>1597</v>
      </c>
      <c r="B159">
        <v>84</v>
      </c>
      <c r="C159">
        <v>445</v>
      </c>
      <c r="D159">
        <v>65.315840850221065</v>
      </c>
      <c r="E159">
        <v>85.14891641828639</v>
      </c>
      <c r="F159">
        <v>132.6742862815631</v>
      </c>
      <c r="H159">
        <v>1</v>
      </c>
      <c r="I159">
        <v>1</v>
      </c>
    </row>
    <row r="160" spans="1:9">
      <c r="A160" s="24">
        <v>1598</v>
      </c>
      <c r="B160">
        <v>47</v>
      </c>
      <c r="C160">
        <v>244</v>
      </c>
      <c r="D160">
        <v>9.7449168403674431</v>
      </c>
      <c r="E160">
        <v>13.096630036172165</v>
      </c>
      <c r="F160">
        <v>21.285693088920585</v>
      </c>
    </row>
    <row r="161" spans="1:9">
      <c r="A161" s="24">
        <v>1599</v>
      </c>
      <c r="B161">
        <v>43</v>
      </c>
      <c r="C161">
        <v>85</v>
      </c>
      <c r="D161">
        <v>32.791734725027979</v>
      </c>
      <c r="E161">
        <v>41.879882641593142</v>
      </c>
      <c r="F161">
        <v>63.309058642241197</v>
      </c>
      <c r="I161">
        <v>1</v>
      </c>
    </row>
    <row r="162" spans="1:9">
      <c r="A162" s="24">
        <v>1604</v>
      </c>
      <c r="B162">
        <v>18</v>
      </c>
      <c r="C162">
        <v>1019</v>
      </c>
      <c r="D162">
        <v>13.486814936558496</v>
      </c>
      <c r="E162">
        <v>17.253906296697419</v>
      </c>
      <c r="F162">
        <v>26.149279300848626</v>
      </c>
      <c r="I162">
        <v>1</v>
      </c>
    </row>
    <row r="163" spans="1:9">
      <c r="A163" s="24">
        <v>1605</v>
      </c>
      <c r="B163">
        <v>15</v>
      </c>
      <c r="C163">
        <v>47523</v>
      </c>
      <c r="D163">
        <v>15.908671566405104</v>
      </c>
      <c r="E163">
        <v>20.297148850131936</v>
      </c>
      <c r="F163">
        <v>30.635813827254879</v>
      </c>
      <c r="G163">
        <v>1</v>
      </c>
      <c r="H163">
        <v>1</v>
      </c>
      <c r="I163">
        <v>1</v>
      </c>
    </row>
    <row r="164" spans="1:9">
      <c r="A164" s="24">
        <v>1608</v>
      </c>
      <c r="B164">
        <v>10</v>
      </c>
      <c r="C164">
        <v>300</v>
      </c>
      <c r="D164">
        <v>-0.66019295624093455</v>
      </c>
      <c r="E164">
        <v>-0.78081502030767913</v>
      </c>
      <c r="F164">
        <v>-1.0378413451410591</v>
      </c>
    </row>
    <row r="165" spans="1:9">
      <c r="A165" s="24">
        <v>1609</v>
      </c>
      <c r="B165">
        <v>11</v>
      </c>
      <c r="C165">
        <v>2143</v>
      </c>
      <c r="D165">
        <v>5.5927076709027004</v>
      </c>
      <c r="E165">
        <v>7.6013195516442877</v>
      </c>
      <c r="F165">
        <v>12.538955288020388</v>
      </c>
      <c r="I165">
        <v>1</v>
      </c>
    </row>
    <row r="166" spans="1:9">
      <c r="A166" s="24">
        <v>1611</v>
      </c>
      <c r="B166">
        <v>9</v>
      </c>
      <c r="C166">
        <v>87</v>
      </c>
      <c r="D166">
        <v>0.19566716045312565</v>
      </c>
      <c r="E166">
        <v>0.25454167054752613</v>
      </c>
      <c r="F166">
        <v>0.39540442628958472</v>
      </c>
    </row>
    <row r="167" spans="1:9">
      <c r="A167" s="24">
        <v>1612</v>
      </c>
      <c r="B167">
        <v>10</v>
      </c>
      <c r="C167">
        <v>83</v>
      </c>
      <c r="D167">
        <v>5.7138573256129206</v>
      </c>
      <c r="E167">
        <v>7.4839360890571989</v>
      </c>
      <c r="F167">
        <v>11.739583389640652</v>
      </c>
      <c r="I167">
        <v>1</v>
      </c>
    </row>
    <row r="168" spans="1:9">
      <c r="A168" s="24">
        <v>1614</v>
      </c>
      <c r="B168">
        <v>28</v>
      </c>
      <c r="C168">
        <v>27</v>
      </c>
      <c r="D168">
        <v>11.44912718058985</v>
      </c>
      <c r="E168">
        <v>15.260758207061105</v>
      </c>
      <c r="F168">
        <v>24.528825668007606</v>
      </c>
    </row>
    <row r="169" spans="1:9">
      <c r="A169" s="24">
        <v>1615</v>
      </c>
      <c r="B169">
        <v>16</v>
      </c>
      <c r="C169">
        <v>120</v>
      </c>
      <c r="D169">
        <v>17.15835093505909</v>
      </c>
      <c r="E169">
        <v>21.7282149732658</v>
      </c>
      <c r="F169">
        <v>32.422105512618039</v>
      </c>
      <c r="G169">
        <v>1</v>
      </c>
      <c r="H169">
        <v>1</v>
      </c>
      <c r="I169">
        <v>1</v>
      </c>
    </row>
    <row r="170" spans="1:9">
      <c r="A170" s="24">
        <v>1616</v>
      </c>
      <c r="B170">
        <v>5</v>
      </c>
      <c r="C170">
        <v>52</v>
      </c>
      <c r="D170">
        <v>3.0234067307681305</v>
      </c>
      <c r="E170">
        <v>4.3352688076136499</v>
      </c>
      <c r="F170">
        <v>7.636753337097967</v>
      </c>
      <c r="I170">
        <v>1</v>
      </c>
    </row>
    <row r="171" spans="1:9">
      <c r="A171" s="24">
        <v>1617</v>
      </c>
      <c r="B171">
        <v>13</v>
      </c>
      <c r="C171">
        <v>18</v>
      </c>
      <c r="D171">
        <v>12.524813595652899</v>
      </c>
      <c r="E171">
        <v>16.064300327115731</v>
      </c>
      <c r="F171">
        <v>24.440137452098575</v>
      </c>
      <c r="H171">
        <v>1</v>
      </c>
      <c r="I171">
        <v>1</v>
      </c>
    </row>
    <row r="172" spans="1:9">
      <c r="A172" s="24">
        <v>1618</v>
      </c>
      <c r="B172">
        <v>8</v>
      </c>
      <c r="C172">
        <v>57</v>
      </c>
      <c r="D172">
        <v>-0.12233970578303088</v>
      </c>
      <c r="E172">
        <v>-2.4135323423695509E-2</v>
      </c>
      <c r="F172">
        <v>0.26546305937006043</v>
      </c>
    </row>
    <row r="173" spans="1:9">
      <c r="A173" s="24">
        <v>1626</v>
      </c>
      <c r="B173">
        <v>28</v>
      </c>
      <c r="C173">
        <v>351</v>
      </c>
      <c r="D173">
        <v>7.9324530519682011</v>
      </c>
      <c r="E173">
        <v>10.758151817621764</v>
      </c>
      <c r="F173">
        <v>17.696502336308185</v>
      </c>
    </row>
    <row r="174" spans="1:9">
      <c r="A174" s="24">
        <v>1701</v>
      </c>
      <c r="B174">
        <v>19</v>
      </c>
      <c r="C174">
        <v>192</v>
      </c>
      <c r="D174">
        <v>10.752605330727977</v>
      </c>
      <c r="E174">
        <v>14.271164118758074</v>
      </c>
      <c r="F174">
        <v>22.804241866105198</v>
      </c>
      <c r="I174">
        <v>1</v>
      </c>
    </row>
    <row r="175" spans="1:9">
      <c r="A175" s="24">
        <v>1702</v>
      </c>
      <c r="B175">
        <v>54</v>
      </c>
      <c r="C175">
        <v>227</v>
      </c>
      <c r="D175">
        <v>37.26561757521938</v>
      </c>
      <c r="E175">
        <v>49.103188857165165</v>
      </c>
      <c r="F175">
        <v>77.678464021944507</v>
      </c>
      <c r="I175">
        <v>1</v>
      </c>
    </row>
    <row r="176" spans="1:9">
      <c r="A176" s="24">
        <v>1707</v>
      </c>
      <c r="B176">
        <v>200</v>
      </c>
      <c r="C176">
        <v>123</v>
      </c>
      <c r="D176">
        <v>156.30440402467633</v>
      </c>
      <c r="E176">
        <v>207.95322355130375</v>
      </c>
      <c r="F176">
        <v>333.39664495995271</v>
      </c>
      <c r="H176">
        <v>1</v>
      </c>
      <c r="I176">
        <v>1</v>
      </c>
    </row>
    <row r="177" spans="1:9">
      <c r="A177" s="24">
        <v>1708</v>
      </c>
      <c r="B177">
        <v>26</v>
      </c>
      <c r="C177">
        <v>481</v>
      </c>
      <c r="D177">
        <v>12.059973446607621</v>
      </c>
      <c r="E177">
        <v>16.052080525422102</v>
      </c>
      <c r="F177">
        <v>25.750609427293789</v>
      </c>
    </row>
    <row r="178" spans="1:9">
      <c r="A178" s="24">
        <v>1709</v>
      </c>
      <c r="B178">
        <v>14</v>
      </c>
      <c r="C178">
        <v>118</v>
      </c>
      <c r="D178">
        <v>9.6074820828661416</v>
      </c>
      <c r="E178">
        <v>12.369077756497365</v>
      </c>
      <c r="F178">
        <v>18.924166742835922</v>
      </c>
      <c r="I178">
        <v>1</v>
      </c>
    </row>
    <row r="179" spans="1:9">
      <c r="A179" s="24">
        <v>1710</v>
      </c>
      <c r="B179">
        <v>24</v>
      </c>
      <c r="C179">
        <v>2140</v>
      </c>
      <c r="D179">
        <v>33.097893185824759</v>
      </c>
      <c r="E179">
        <v>42.053530415973697</v>
      </c>
      <c r="F179">
        <v>63.074763136658945</v>
      </c>
      <c r="G179">
        <v>1</v>
      </c>
      <c r="H179">
        <v>1</v>
      </c>
      <c r="I179">
        <v>1</v>
      </c>
    </row>
    <row r="180" spans="1:9">
      <c r="A180" s="24">
        <v>1711</v>
      </c>
      <c r="B180">
        <v>17</v>
      </c>
      <c r="C180">
        <v>321</v>
      </c>
      <c r="D180">
        <v>9.1914863334265213</v>
      </c>
      <c r="E180">
        <v>12.200129368446515</v>
      </c>
      <c r="F180">
        <v>19.496923294159991</v>
      </c>
      <c r="I180">
        <v>1</v>
      </c>
    </row>
    <row r="181" spans="1:9">
      <c r="A181" s="24">
        <v>1712</v>
      </c>
      <c r="B181">
        <v>19</v>
      </c>
      <c r="C181">
        <v>509</v>
      </c>
      <c r="D181">
        <v>13.595146750533893</v>
      </c>
      <c r="E181">
        <v>17.652439266079664</v>
      </c>
      <c r="F181">
        <v>27.346387959044428</v>
      </c>
      <c r="I181">
        <v>1</v>
      </c>
    </row>
    <row r="182" spans="1:9">
      <c r="A182" s="24">
        <v>1713</v>
      </c>
      <c r="B182">
        <v>18</v>
      </c>
      <c r="C182">
        <v>71</v>
      </c>
      <c r="D182">
        <v>9.5842783319165044</v>
      </c>
      <c r="E182">
        <v>12.778376732163414</v>
      </c>
      <c r="F182">
        <v>20.54611045044868</v>
      </c>
      <c r="I182">
        <v>1</v>
      </c>
    </row>
    <row r="183" spans="1:9">
      <c r="A183" s="24">
        <v>1714</v>
      </c>
      <c r="B183">
        <v>7</v>
      </c>
      <c r="C183">
        <v>503</v>
      </c>
      <c r="D183">
        <v>6.856401014322719</v>
      </c>
      <c r="E183">
        <v>9.2756882427838203</v>
      </c>
      <c r="F183">
        <v>15.208221388964951</v>
      </c>
      <c r="H183">
        <v>1</v>
      </c>
      <c r="I183">
        <v>1</v>
      </c>
    </row>
    <row r="184" spans="1:9">
      <c r="A184" s="24">
        <v>1717</v>
      </c>
      <c r="B184">
        <v>27</v>
      </c>
      <c r="C184">
        <v>647</v>
      </c>
      <c r="D184">
        <v>12.566217067146994</v>
      </c>
      <c r="E184">
        <v>16.419477826845469</v>
      </c>
      <c r="F184">
        <v>25.667979018773554</v>
      </c>
    </row>
    <row r="185" spans="1:9">
      <c r="A185" s="24">
        <v>1718</v>
      </c>
      <c r="B185">
        <v>9</v>
      </c>
      <c r="C185">
        <v>2400</v>
      </c>
      <c r="D185">
        <v>17.945704391845794</v>
      </c>
      <c r="E185">
        <v>22.977854000104923</v>
      </c>
      <c r="F185">
        <v>34.869007207098015</v>
      </c>
      <c r="G185">
        <v>1</v>
      </c>
      <c r="H185">
        <v>1</v>
      </c>
      <c r="I185">
        <v>1</v>
      </c>
    </row>
    <row r="186" spans="1:9">
      <c r="A186" s="24">
        <v>1720</v>
      </c>
      <c r="B186">
        <v>34</v>
      </c>
      <c r="C186">
        <v>213</v>
      </c>
      <c r="D186">
        <v>23.73581466127029</v>
      </c>
      <c r="E186">
        <v>31.260645448876851</v>
      </c>
      <c r="F186">
        <v>49.419463171783207</v>
      </c>
      <c r="I186">
        <v>1</v>
      </c>
    </row>
    <row r="187" spans="1:9">
      <c r="A187" s="24">
        <v>1721</v>
      </c>
      <c r="B187">
        <v>9</v>
      </c>
      <c r="C187">
        <v>151</v>
      </c>
      <c r="D187">
        <v>0.68706200691348718</v>
      </c>
      <c r="E187">
        <v>0.96597303099103216</v>
      </c>
      <c r="F187">
        <v>1.662502063576871</v>
      </c>
    </row>
    <row r="188" spans="1:9">
      <c r="A188" s="24">
        <v>1722</v>
      </c>
      <c r="B188">
        <v>48</v>
      </c>
      <c r="C188">
        <v>1661</v>
      </c>
      <c r="D188">
        <v>-69.7379742322684</v>
      </c>
      <c r="E188">
        <v>-78.470071537117207</v>
      </c>
      <c r="F188">
        <v>-94.404766263190595</v>
      </c>
    </row>
    <row r="189" spans="1:9">
      <c r="A189" s="24">
        <v>1723</v>
      </c>
      <c r="B189">
        <v>127</v>
      </c>
      <c r="C189">
        <v>141</v>
      </c>
      <c r="D189">
        <v>82.005919889358495</v>
      </c>
      <c r="E189">
        <v>108.03766951720399</v>
      </c>
      <c r="F189">
        <v>170.87013944305778</v>
      </c>
      <c r="I189">
        <v>1</v>
      </c>
    </row>
    <row r="190" spans="1:9">
      <c r="A190" s="24">
        <v>1724</v>
      </c>
      <c r="B190">
        <v>14</v>
      </c>
      <c r="C190">
        <v>61</v>
      </c>
      <c r="D190">
        <v>7.2874605860779713</v>
      </c>
      <c r="E190">
        <v>9.6640266039473399</v>
      </c>
      <c r="F190">
        <v>15.424572567575172</v>
      </c>
      <c r="I190">
        <v>1</v>
      </c>
    </row>
    <row r="191" spans="1:9">
      <c r="A191" s="24">
        <v>1725</v>
      </c>
      <c r="B191">
        <v>15</v>
      </c>
      <c r="C191">
        <v>38</v>
      </c>
      <c r="D191">
        <v>10.261125331816155</v>
      </c>
      <c r="E191">
        <v>13.329758574435699</v>
      </c>
      <c r="F191">
        <v>20.664122667809316</v>
      </c>
      <c r="I191">
        <v>1</v>
      </c>
    </row>
    <row r="192" spans="1:9">
      <c r="A192" s="24">
        <v>1726</v>
      </c>
      <c r="B192">
        <v>74</v>
      </c>
      <c r="C192">
        <v>22</v>
      </c>
      <c r="D192">
        <v>42.860160378639065</v>
      </c>
      <c r="E192">
        <v>56.421323186988189</v>
      </c>
      <c r="F192">
        <v>89.136736650675587</v>
      </c>
      <c r="I192">
        <v>1</v>
      </c>
    </row>
    <row r="193" spans="1:9">
      <c r="A193" s="24">
        <v>1727</v>
      </c>
      <c r="B193">
        <v>13</v>
      </c>
      <c r="C193">
        <v>5</v>
      </c>
      <c r="D193">
        <v>9.3810466013402731</v>
      </c>
      <c r="E193">
        <v>12.30996155555448</v>
      </c>
      <c r="F193">
        <v>19.360655312423475</v>
      </c>
      <c r="I193">
        <v>1</v>
      </c>
    </row>
    <row r="194" spans="1:9">
      <c r="A194" s="24">
        <v>1730</v>
      </c>
      <c r="B194">
        <v>88</v>
      </c>
      <c r="C194">
        <v>142</v>
      </c>
      <c r="D194">
        <v>52.399601709835416</v>
      </c>
      <c r="E194">
        <v>68.159708931194146</v>
      </c>
      <c r="F194">
        <v>105.86461808467647</v>
      </c>
      <c r="I194">
        <v>1</v>
      </c>
    </row>
    <row r="195" spans="1:9">
      <c r="A195" s="24">
        <v>1731</v>
      </c>
      <c r="B195">
        <v>13</v>
      </c>
      <c r="C195">
        <v>128</v>
      </c>
      <c r="D195">
        <v>8.3773824451895571</v>
      </c>
      <c r="E195">
        <v>10.982115514302055</v>
      </c>
      <c r="F195">
        <v>17.24819518830661</v>
      </c>
      <c r="I195">
        <v>1</v>
      </c>
    </row>
    <row r="196" spans="1:9">
      <c r="A196" s="24">
        <v>1732</v>
      </c>
      <c r="B196">
        <v>10</v>
      </c>
      <c r="C196">
        <v>17</v>
      </c>
      <c r="D196">
        <v>3.1668247423558493</v>
      </c>
      <c r="E196">
        <v>4.5409161741286557</v>
      </c>
      <c r="F196">
        <v>7.9990095851397935</v>
      </c>
    </row>
    <row r="197" spans="1:9">
      <c r="A197" s="24">
        <v>1733</v>
      </c>
      <c r="B197">
        <v>31</v>
      </c>
      <c r="C197">
        <v>695</v>
      </c>
      <c r="D197">
        <v>103.08200335109846</v>
      </c>
      <c r="E197">
        <v>123.94118974347552</v>
      </c>
      <c r="F197">
        <v>169.7385007577725</v>
      </c>
      <c r="G197">
        <v>1</v>
      </c>
      <c r="H197">
        <v>1</v>
      </c>
      <c r="I197">
        <v>1</v>
      </c>
    </row>
    <row r="198" spans="1:9">
      <c r="A198" s="24">
        <v>1734</v>
      </c>
      <c r="B198">
        <v>20</v>
      </c>
      <c r="C198">
        <v>114</v>
      </c>
      <c r="D198">
        <v>-27.430180840392893</v>
      </c>
      <c r="E198">
        <v>-37.728016587496398</v>
      </c>
      <c r="F198">
        <v>-63.193809914801491</v>
      </c>
    </row>
    <row r="199" spans="1:9">
      <c r="A199" s="24">
        <v>1735</v>
      </c>
      <c r="B199">
        <v>16</v>
      </c>
      <c r="C199">
        <v>15</v>
      </c>
      <c r="D199">
        <v>10.154434293358676</v>
      </c>
      <c r="E199">
        <v>13.887818585150718</v>
      </c>
      <c r="F199">
        <v>23.094649974045662</v>
      </c>
      <c r="I199">
        <v>1</v>
      </c>
    </row>
    <row r="200" spans="1:9">
      <c r="A200" s="24">
        <v>1736</v>
      </c>
      <c r="B200">
        <v>80</v>
      </c>
      <c r="C200">
        <v>10507</v>
      </c>
      <c r="D200">
        <v>8.5948739000823551</v>
      </c>
      <c r="E200">
        <v>11.682939911689671</v>
      </c>
      <c r="F200">
        <v>19.274542602543146</v>
      </c>
    </row>
    <row r="201" spans="1:9">
      <c r="A201" s="24">
        <v>1737</v>
      </c>
      <c r="B201">
        <v>34</v>
      </c>
      <c r="C201">
        <v>295</v>
      </c>
      <c r="D201">
        <v>22.503495451489854</v>
      </c>
      <c r="E201">
        <v>29.173934198753727</v>
      </c>
      <c r="F201">
        <v>45.092846668372346</v>
      </c>
      <c r="I201">
        <v>1</v>
      </c>
    </row>
    <row r="202" spans="1:9">
      <c r="A202" s="24">
        <v>1742</v>
      </c>
      <c r="B202">
        <v>19</v>
      </c>
      <c r="C202">
        <v>87</v>
      </c>
      <c r="D202">
        <v>0</v>
      </c>
      <c r="E202">
        <v>0</v>
      </c>
      <c r="F202">
        <v>0</v>
      </c>
    </row>
    <row r="203" spans="1:9">
      <c r="A203" s="24">
        <v>1752</v>
      </c>
      <c r="B203">
        <v>30</v>
      </c>
      <c r="C203">
        <v>56</v>
      </c>
      <c r="D203">
        <v>13.0841264017055</v>
      </c>
      <c r="E203">
        <v>17.483025067640483</v>
      </c>
      <c r="F203">
        <v>28.194753590777474</v>
      </c>
    </row>
    <row r="204" spans="1:9">
      <c r="A204" s="24">
        <v>1760</v>
      </c>
      <c r="B204">
        <v>96</v>
      </c>
      <c r="C204">
        <v>940</v>
      </c>
      <c r="D204">
        <v>52.680952288747072</v>
      </c>
      <c r="E204">
        <v>70.205541643605798</v>
      </c>
      <c r="F204">
        <v>112.81189663261625</v>
      </c>
      <c r="I204">
        <v>1</v>
      </c>
    </row>
    <row r="205" spans="1:9">
      <c r="A205" s="24">
        <v>1762</v>
      </c>
      <c r="B205">
        <v>35</v>
      </c>
      <c r="C205">
        <v>2105</v>
      </c>
      <c r="D205">
        <v>19.944626058642569</v>
      </c>
      <c r="E205">
        <v>24.920636955280106</v>
      </c>
      <c r="F205">
        <v>36.411370342952466</v>
      </c>
      <c r="I205">
        <v>1</v>
      </c>
    </row>
    <row r="206" spans="1:9">
      <c r="A206" s="24">
        <v>1773</v>
      </c>
      <c r="B206">
        <v>83</v>
      </c>
      <c r="C206">
        <v>58</v>
      </c>
      <c r="D206">
        <v>61.583438811824088</v>
      </c>
      <c r="E206">
        <v>80.248897088573841</v>
      </c>
      <c r="F206">
        <v>124.96259774353662</v>
      </c>
      <c r="I206">
        <v>1</v>
      </c>
    </row>
    <row r="207" spans="1:9">
      <c r="A207" s="24">
        <v>1776</v>
      </c>
      <c r="B207">
        <v>16</v>
      </c>
      <c r="C207">
        <v>1</v>
      </c>
      <c r="D207">
        <v>-3.0890643989503217</v>
      </c>
      <c r="E207">
        <v>-4.3395356113693229</v>
      </c>
      <c r="F207">
        <v>-7.4612999938292228</v>
      </c>
    </row>
    <row r="208" spans="1:9">
      <c r="A208" s="24">
        <v>1777</v>
      </c>
      <c r="B208">
        <v>77</v>
      </c>
      <c r="C208">
        <v>54</v>
      </c>
      <c r="D208">
        <v>50.493964807779669</v>
      </c>
      <c r="E208">
        <v>66.349892405412831</v>
      </c>
      <c r="F208">
        <v>104.5548628167368</v>
      </c>
      <c r="I208">
        <v>1</v>
      </c>
    </row>
    <row r="209" spans="1:9">
      <c r="A209" s="24">
        <v>1781</v>
      </c>
      <c r="B209">
        <v>10</v>
      </c>
      <c r="C209">
        <v>7</v>
      </c>
      <c r="D209">
        <v>0</v>
      </c>
      <c r="E209">
        <v>0</v>
      </c>
      <c r="F209">
        <v>0</v>
      </c>
    </row>
    <row r="210" spans="1:9">
      <c r="A210" s="24">
        <v>1783</v>
      </c>
      <c r="B210">
        <v>26</v>
      </c>
      <c r="C210">
        <v>182</v>
      </c>
      <c r="D210">
        <v>8.2674850038098828</v>
      </c>
      <c r="E210">
        <v>11.525448781586583</v>
      </c>
      <c r="F210">
        <v>19.632160852674502</v>
      </c>
    </row>
    <row r="211" spans="1:9">
      <c r="A211" s="24">
        <v>1784</v>
      </c>
      <c r="B211">
        <v>52</v>
      </c>
      <c r="C211">
        <v>2901</v>
      </c>
      <c r="D211">
        <v>21.212568870556808</v>
      </c>
      <c r="E211">
        <v>29.853796725721512</v>
      </c>
      <c r="F211">
        <v>51.442685865634772</v>
      </c>
    </row>
    <row r="212" spans="1:9">
      <c r="A212" s="24">
        <v>1785</v>
      </c>
      <c r="B212">
        <v>22</v>
      </c>
      <c r="C212">
        <v>1255</v>
      </c>
      <c r="D212">
        <v>-41.805795673900164</v>
      </c>
      <c r="E212">
        <v>-48.416441878796668</v>
      </c>
      <c r="F212">
        <v>-61.8178808967305</v>
      </c>
    </row>
    <row r="213" spans="1:9">
      <c r="A213" s="24">
        <v>1786</v>
      </c>
      <c r="B213">
        <v>74</v>
      </c>
      <c r="C213">
        <v>474</v>
      </c>
      <c r="D213">
        <v>22.162917864525475</v>
      </c>
      <c r="E213">
        <v>30.914882238561358</v>
      </c>
      <c r="F213">
        <v>52.69781637800002</v>
      </c>
    </row>
    <row r="214" spans="1:9">
      <c r="A214" s="24">
        <v>1787</v>
      </c>
      <c r="B214">
        <v>26</v>
      </c>
      <c r="C214">
        <v>46</v>
      </c>
      <c r="D214">
        <v>17.449255807157559</v>
      </c>
      <c r="E214">
        <v>22.552879510349989</v>
      </c>
      <c r="F214">
        <v>34.704410653508859</v>
      </c>
      <c r="I214">
        <v>1</v>
      </c>
    </row>
    <row r="215" spans="1:9">
      <c r="A215" s="24">
        <v>1788</v>
      </c>
      <c r="B215">
        <v>110</v>
      </c>
      <c r="C215">
        <v>270</v>
      </c>
      <c r="D215">
        <v>66.391367790999837</v>
      </c>
      <c r="E215">
        <v>86.498648940614174</v>
      </c>
      <c r="F215">
        <v>134.6600866270079</v>
      </c>
      <c r="I215">
        <v>1</v>
      </c>
    </row>
    <row r="216" spans="1:9">
      <c r="A216" s="24">
        <v>1789</v>
      </c>
      <c r="B216">
        <v>25</v>
      </c>
      <c r="C216">
        <v>359</v>
      </c>
      <c r="D216">
        <v>11.112142166822922</v>
      </c>
      <c r="E216">
        <v>15.212042359548697</v>
      </c>
      <c r="F216">
        <v>25.327502343947017</v>
      </c>
      <c r="I216">
        <v>1</v>
      </c>
    </row>
    <row r="217" spans="1:9">
      <c r="A217" s="24">
        <v>1795</v>
      </c>
      <c r="B217">
        <v>122</v>
      </c>
      <c r="C217">
        <v>2561</v>
      </c>
      <c r="D217">
        <v>13.084632462602075</v>
      </c>
      <c r="E217">
        <v>18.762080006283515</v>
      </c>
      <c r="F217">
        <v>33.050171386662868</v>
      </c>
    </row>
    <row r="218" spans="1:9">
      <c r="A218" s="24">
        <v>1796</v>
      </c>
      <c r="B218">
        <v>32</v>
      </c>
      <c r="C218">
        <v>2</v>
      </c>
      <c r="D218">
        <v>14.728662514473662</v>
      </c>
      <c r="E218">
        <v>20.769385496731349</v>
      </c>
      <c r="F218">
        <v>35.873475539931945</v>
      </c>
      <c r="I218">
        <v>1</v>
      </c>
    </row>
    <row r="219" spans="1:9">
      <c r="A219" s="24">
        <v>1799</v>
      </c>
      <c r="B219">
        <v>11</v>
      </c>
      <c r="C219">
        <v>99</v>
      </c>
      <c r="D219">
        <v>0</v>
      </c>
      <c r="E219">
        <v>0</v>
      </c>
      <c r="F219">
        <v>0</v>
      </c>
    </row>
    <row r="220" spans="1:9">
      <c r="A220" s="24">
        <v>1802</v>
      </c>
      <c r="B220">
        <v>12</v>
      </c>
      <c r="C220">
        <v>568</v>
      </c>
      <c r="D220">
        <v>3.8583402835674772</v>
      </c>
      <c r="E220">
        <v>5.3145933797732283</v>
      </c>
      <c r="F220">
        <v>8.9183158635580213</v>
      </c>
    </row>
    <row r="221" spans="1:9">
      <c r="A221" s="24">
        <v>1805</v>
      </c>
      <c r="B221">
        <v>10</v>
      </c>
      <c r="C221">
        <v>19</v>
      </c>
      <c r="D221">
        <v>-0.4490025411439888</v>
      </c>
      <c r="E221">
        <v>-0.53103857738463611</v>
      </c>
      <c r="F221">
        <v>-0.70584424881771823</v>
      </c>
    </row>
    <row r="222" spans="1:9">
      <c r="A222" s="24">
        <v>1806</v>
      </c>
      <c r="B222">
        <v>7</v>
      </c>
      <c r="C222">
        <v>89</v>
      </c>
      <c r="D222">
        <v>0</v>
      </c>
      <c r="E222">
        <v>0</v>
      </c>
      <c r="F222">
        <v>0</v>
      </c>
    </row>
    <row r="223" spans="1:9">
      <c r="A223" s="24">
        <v>1808</v>
      </c>
      <c r="B223">
        <v>63</v>
      </c>
      <c r="C223">
        <v>181</v>
      </c>
      <c r="D223">
        <v>68.658795209508312</v>
      </c>
      <c r="E223">
        <v>85.424066091186802</v>
      </c>
      <c r="F223">
        <v>123.96097757788995</v>
      </c>
      <c r="G223">
        <v>1</v>
      </c>
      <c r="H223">
        <v>1</v>
      </c>
      <c r="I223">
        <v>1</v>
      </c>
    </row>
    <row r="224" spans="1:9">
      <c r="A224" s="24">
        <v>1809</v>
      </c>
      <c r="B224">
        <v>12</v>
      </c>
      <c r="C224">
        <v>871</v>
      </c>
      <c r="D224">
        <v>-17.299946963148393</v>
      </c>
      <c r="E224">
        <v>-24.813656920471892</v>
      </c>
      <c r="F224">
        <v>-43.724988290180612</v>
      </c>
    </row>
    <row r="225" spans="1:9">
      <c r="A225" s="24">
        <v>1810</v>
      </c>
      <c r="B225">
        <v>8</v>
      </c>
      <c r="C225">
        <v>235</v>
      </c>
      <c r="D225">
        <v>-0.14119522719813105</v>
      </c>
      <c r="E225">
        <v>-0.20139216894928982</v>
      </c>
      <c r="F225">
        <v>-0.35258651978715783</v>
      </c>
    </row>
    <row r="226" spans="1:9">
      <c r="A226" s="24">
        <v>1813</v>
      </c>
      <c r="B226">
        <v>24</v>
      </c>
      <c r="C226">
        <v>82</v>
      </c>
      <c r="D226">
        <v>25.415074411296498</v>
      </c>
      <c r="E226">
        <v>30.990981373701032</v>
      </c>
      <c r="F226">
        <v>43.493702296822313</v>
      </c>
      <c r="G226">
        <v>1</v>
      </c>
      <c r="H226">
        <v>1</v>
      </c>
      <c r="I226">
        <v>1</v>
      </c>
    </row>
    <row r="227" spans="1:9">
      <c r="A227" s="24">
        <v>1815</v>
      </c>
      <c r="B227">
        <v>16</v>
      </c>
      <c r="C227">
        <v>1733</v>
      </c>
      <c r="D227">
        <v>10.805771837537307</v>
      </c>
      <c r="E227">
        <v>14.235952808495604</v>
      </c>
      <c r="F227">
        <v>22.515341983721914</v>
      </c>
      <c r="I227">
        <v>1</v>
      </c>
    </row>
    <row r="228" spans="1:9">
      <c r="A228" s="24">
        <v>1817</v>
      </c>
      <c r="B228">
        <v>39</v>
      </c>
      <c r="C228">
        <v>73</v>
      </c>
      <c r="D228">
        <v>33.248459654202804</v>
      </c>
      <c r="E228">
        <v>43.097145584273321</v>
      </c>
      <c r="F228">
        <v>66.598128570426098</v>
      </c>
      <c r="H228">
        <v>1</v>
      </c>
      <c r="I228">
        <v>1</v>
      </c>
    </row>
    <row r="229" spans="1:9">
      <c r="A229" s="24">
        <v>1902</v>
      </c>
      <c r="B229">
        <v>19</v>
      </c>
      <c r="C229">
        <v>190</v>
      </c>
      <c r="D229">
        <v>7.8319614580332981</v>
      </c>
      <c r="E229">
        <v>10.869621629540282</v>
      </c>
      <c r="F229">
        <v>18.413117494894223</v>
      </c>
    </row>
    <row r="230" spans="1:9">
      <c r="A230" s="24">
        <v>1903</v>
      </c>
      <c r="B230">
        <v>32</v>
      </c>
      <c r="C230">
        <v>19</v>
      </c>
      <c r="D230">
        <v>0</v>
      </c>
      <c r="E230">
        <v>0</v>
      </c>
      <c r="F230">
        <v>0</v>
      </c>
    </row>
    <row r="231" spans="1:9">
      <c r="A231" s="24">
        <v>1904</v>
      </c>
      <c r="B231">
        <v>19</v>
      </c>
      <c r="C231">
        <v>1297</v>
      </c>
      <c r="D231">
        <v>18.164382004647138</v>
      </c>
      <c r="E231">
        <v>23.14845826232407</v>
      </c>
      <c r="F231">
        <v>34.878512300928463</v>
      </c>
      <c r="H231">
        <v>1</v>
      </c>
      <c r="I231">
        <v>1</v>
      </c>
    </row>
    <row r="232" spans="1:9">
      <c r="A232" s="24">
        <v>1905</v>
      </c>
      <c r="B232">
        <v>10</v>
      </c>
      <c r="C232">
        <v>3744</v>
      </c>
      <c r="D232">
        <v>9.4327238530945614</v>
      </c>
      <c r="E232">
        <v>12.095602444746415</v>
      </c>
      <c r="F232">
        <v>18.395833088674095</v>
      </c>
      <c r="H232">
        <v>1</v>
      </c>
      <c r="I232">
        <v>1</v>
      </c>
    </row>
    <row r="233" spans="1:9">
      <c r="A233" s="24">
        <v>1906</v>
      </c>
      <c r="B233">
        <v>13</v>
      </c>
      <c r="C233">
        <v>107</v>
      </c>
      <c r="D233">
        <v>8.0110738022697863</v>
      </c>
      <c r="E233">
        <v>10.510741656059531</v>
      </c>
      <c r="F233">
        <v>16.527528539387113</v>
      </c>
      <c r="I233">
        <v>1</v>
      </c>
    </row>
    <row r="234" spans="1:9">
      <c r="A234" s="24">
        <v>1907</v>
      </c>
      <c r="B234">
        <v>12</v>
      </c>
      <c r="C234">
        <v>683</v>
      </c>
      <c r="D234">
        <v>13.291203999123651</v>
      </c>
      <c r="E234">
        <v>17.415251268118798</v>
      </c>
      <c r="F234">
        <v>27.332937489669924</v>
      </c>
      <c r="G234">
        <v>1</v>
      </c>
      <c r="H234">
        <v>1</v>
      </c>
      <c r="I234">
        <v>1</v>
      </c>
    </row>
    <row r="235" spans="1:9">
      <c r="A235" s="24">
        <v>1909</v>
      </c>
      <c r="B235">
        <v>15</v>
      </c>
      <c r="C235">
        <v>1461</v>
      </c>
      <c r="D235">
        <v>7.7968673697911317</v>
      </c>
      <c r="E235">
        <v>9.9899897199507741</v>
      </c>
      <c r="F235">
        <v>15.175372771879399</v>
      </c>
      <c r="I235">
        <v>1</v>
      </c>
    </row>
    <row r="236" spans="1:9">
      <c r="A236" s="24">
        <v>2002</v>
      </c>
      <c r="B236">
        <v>24</v>
      </c>
      <c r="C236">
        <v>10913</v>
      </c>
      <c r="D236">
        <v>17.726855787148622</v>
      </c>
      <c r="E236">
        <v>23.218253111155182</v>
      </c>
      <c r="F236">
        <v>36.420684965363385</v>
      </c>
      <c r="I236">
        <v>1</v>
      </c>
    </row>
    <row r="237" spans="1:9">
      <c r="A237" s="24">
        <v>2006</v>
      </c>
      <c r="B237">
        <v>22</v>
      </c>
      <c r="C237">
        <v>920</v>
      </c>
      <c r="D237">
        <v>12.180112924696118</v>
      </c>
      <c r="E237">
        <v>15.705671111199651</v>
      </c>
      <c r="F237">
        <v>24.084516801495326</v>
      </c>
      <c r="I237">
        <v>1</v>
      </c>
    </row>
    <row r="238" spans="1:9">
      <c r="A238" s="24">
        <v>2007</v>
      </c>
      <c r="B238">
        <v>5</v>
      </c>
      <c r="C238">
        <v>36</v>
      </c>
      <c r="D238">
        <v>1.8342293373890834</v>
      </c>
      <c r="E238">
        <v>2.6301050240674972</v>
      </c>
      <c r="F238">
        <v>4.633037583319231</v>
      </c>
    </row>
    <row r="239" spans="1:9">
      <c r="A239" s="24">
        <v>2008</v>
      </c>
      <c r="B239">
        <v>12</v>
      </c>
      <c r="C239">
        <v>16</v>
      </c>
      <c r="D239">
        <v>0</v>
      </c>
      <c r="E239">
        <v>0</v>
      </c>
      <c r="F239">
        <v>0</v>
      </c>
    </row>
    <row r="240" spans="1:9">
      <c r="A240" s="24">
        <v>2009</v>
      </c>
      <c r="B240">
        <v>10</v>
      </c>
      <c r="C240">
        <v>250</v>
      </c>
      <c r="D240">
        <v>1.7787396949565835</v>
      </c>
      <c r="E240">
        <v>2.4891399661474347</v>
      </c>
      <c r="F240">
        <v>4.2597325111130475</v>
      </c>
    </row>
    <row r="241" spans="1:9">
      <c r="A241" s="24">
        <v>2010</v>
      </c>
      <c r="B241">
        <v>10</v>
      </c>
      <c r="C241">
        <v>347</v>
      </c>
      <c r="D241">
        <v>4.7320660339190894</v>
      </c>
      <c r="E241">
        <v>6.2400989292281626</v>
      </c>
      <c r="F241">
        <v>9.8822790900664401</v>
      </c>
    </row>
    <row r="242" spans="1:9">
      <c r="A242" s="24">
        <v>2012</v>
      </c>
      <c r="B242">
        <v>22</v>
      </c>
      <c r="C242">
        <v>29</v>
      </c>
      <c r="D242">
        <v>17.948824220149113</v>
      </c>
      <c r="E242">
        <v>23.190965437488174</v>
      </c>
      <c r="F242">
        <v>35.669138403020682</v>
      </c>
      <c r="H242">
        <v>1</v>
      </c>
      <c r="I242">
        <v>1</v>
      </c>
    </row>
    <row r="243" spans="1:9">
      <c r="A243" s="24">
        <v>2013</v>
      </c>
      <c r="B243">
        <v>25</v>
      </c>
      <c r="C243">
        <v>284</v>
      </c>
      <c r="D243">
        <v>8.1437358736403134</v>
      </c>
      <c r="E243">
        <v>11.206724921433228</v>
      </c>
      <c r="F243">
        <v>18.783110881171094</v>
      </c>
    </row>
    <row r="244" spans="1:9">
      <c r="A244" s="24">
        <v>2014</v>
      </c>
      <c r="B244">
        <v>10</v>
      </c>
      <c r="C244">
        <v>1487</v>
      </c>
      <c r="D244">
        <v>3.8324554122296202</v>
      </c>
      <c r="E244">
        <v>5.4681438990668685</v>
      </c>
      <c r="F244">
        <v>9.5769442406007492</v>
      </c>
    </row>
    <row r="245" spans="1:9">
      <c r="A245" s="24">
        <v>2015</v>
      </c>
      <c r="B245">
        <v>58</v>
      </c>
      <c r="C245">
        <v>156</v>
      </c>
      <c r="D245">
        <v>48.18098233208238</v>
      </c>
      <c r="E245">
        <v>62.088272748156356</v>
      </c>
      <c r="F245">
        <v>95.124037490136828</v>
      </c>
      <c r="H245">
        <v>1</v>
      </c>
      <c r="I245">
        <v>1</v>
      </c>
    </row>
    <row r="246" spans="1:9">
      <c r="A246" s="24">
        <v>2017</v>
      </c>
      <c r="B246">
        <v>7</v>
      </c>
      <c r="C246">
        <v>318</v>
      </c>
      <c r="D246">
        <v>2.4923718322122732</v>
      </c>
      <c r="E246">
        <v>3.32688248810397</v>
      </c>
      <c r="F246">
        <v>5.3577523996321759</v>
      </c>
    </row>
    <row r="247" spans="1:9">
      <c r="A247" s="24">
        <v>2020</v>
      </c>
      <c r="B247">
        <v>15</v>
      </c>
      <c r="C247">
        <v>184</v>
      </c>
      <c r="D247">
        <v>9.7348851523493352</v>
      </c>
      <c r="E247">
        <v>12.471470570496715</v>
      </c>
      <c r="F247">
        <v>18.94108714560376</v>
      </c>
      <c r="I247">
        <v>1</v>
      </c>
    </row>
    <row r="248" spans="1:9">
      <c r="A248" s="24">
        <v>2022</v>
      </c>
      <c r="B248">
        <v>7</v>
      </c>
      <c r="C248">
        <v>745</v>
      </c>
      <c r="D248">
        <v>2.5776480461035982</v>
      </c>
      <c r="E248">
        <v>3.6960945603372779</v>
      </c>
      <c r="F248">
        <v>6.5108217553463437</v>
      </c>
    </row>
    <row r="249" spans="1:9">
      <c r="A249" s="24">
        <v>2023</v>
      </c>
      <c r="B249">
        <v>9</v>
      </c>
      <c r="C249">
        <v>467</v>
      </c>
      <c r="D249">
        <v>1.8618262624642699</v>
      </c>
      <c r="E249">
        <v>2.4682345184295387</v>
      </c>
      <c r="F249">
        <v>3.9378186103132471</v>
      </c>
    </row>
    <row r="250" spans="1:9">
      <c r="A250" s="24">
        <v>2024</v>
      </c>
      <c r="B250">
        <v>10</v>
      </c>
      <c r="C250">
        <v>86</v>
      </c>
      <c r="D250">
        <v>6.4833593882232794</v>
      </c>
      <c r="E250">
        <v>8.3635071899288924</v>
      </c>
      <c r="F250">
        <v>12.83335202414743</v>
      </c>
      <c r="I250">
        <v>1</v>
      </c>
    </row>
    <row r="251" spans="1:9">
      <c r="A251" s="24">
        <v>2025</v>
      </c>
      <c r="B251">
        <v>2</v>
      </c>
      <c r="C251">
        <v>125</v>
      </c>
      <c r="D251">
        <v>0</v>
      </c>
      <c r="E251">
        <v>0</v>
      </c>
      <c r="F251">
        <v>0</v>
      </c>
    </row>
    <row r="252" spans="1:9">
      <c r="A252" s="24">
        <v>2027</v>
      </c>
      <c r="B252">
        <v>46</v>
      </c>
      <c r="C252">
        <v>2189</v>
      </c>
      <c r="D252">
        <v>20.736328569292951</v>
      </c>
      <c r="E252">
        <v>27.780602854962403</v>
      </c>
      <c r="F252">
        <v>44.960395385068708</v>
      </c>
    </row>
    <row r="253" spans="1:9">
      <c r="A253" s="24">
        <v>2028</v>
      </c>
      <c r="B253">
        <v>9</v>
      </c>
      <c r="C253">
        <v>59</v>
      </c>
      <c r="D253">
        <v>1.8068085351735699</v>
      </c>
      <c r="E253">
        <v>2.5907862822935588</v>
      </c>
      <c r="F253">
        <v>4.5637760113665804</v>
      </c>
    </row>
    <row r="254" spans="1:9">
      <c r="A254" s="24">
        <v>2029</v>
      </c>
      <c r="B254">
        <v>19</v>
      </c>
      <c r="C254">
        <v>76</v>
      </c>
      <c r="D254">
        <v>3.2607892019803306</v>
      </c>
      <c r="E254">
        <v>4.7343725359506461</v>
      </c>
      <c r="F254">
        <v>8.4593289834749861</v>
      </c>
    </row>
    <row r="255" spans="1:9">
      <c r="A255" s="24">
        <v>2030</v>
      </c>
      <c r="B255">
        <v>13</v>
      </c>
      <c r="C255">
        <v>183</v>
      </c>
      <c r="D255">
        <v>9.8323661232109441</v>
      </c>
      <c r="E255">
        <v>12.64055629761604</v>
      </c>
      <c r="F255">
        <v>19.298600346126673</v>
      </c>
      <c r="I255">
        <v>1</v>
      </c>
    </row>
    <row r="256" spans="1:9">
      <c r="A256" s="24">
        <v>2031</v>
      </c>
      <c r="B256">
        <v>32</v>
      </c>
      <c r="C256">
        <v>1975</v>
      </c>
      <c r="D256">
        <v>21.12078027483793</v>
      </c>
      <c r="E256">
        <v>27.64394859458951</v>
      </c>
      <c r="F256">
        <v>43.319265731132703</v>
      </c>
      <c r="I256">
        <v>1</v>
      </c>
    </row>
    <row r="257" spans="1:9">
      <c r="A257" s="24">
        <v>2032</v>
      </c>
      <c r="B257">
        <v>9</v>
      </c>
      <c r="C257">
        <v>55</v>
      </c>
      <c r="D257">
        <v>2.3708588833053801</v>
      </c>
      <c r="E257">
        <v>3.2366417385227093</v>
      </c>
      <c r="F257">
        <v>5.3697831293688756</v>
      </c>
    </row>
    <row r="258" spans="1:9">
      <c r="A258" s="24">
        <v>2033</v>
      </c>
      <c r="B258">
        <v>10</v>
      </c>
      <c r="C258">
        <v>10</v>
      </c>
      <c r="D258">
        <v>2.7300680232860635</v>
      </c>
      <c r="E258">
        <v>3.7838640020151439</v>
      </c>
      <c r="F258">
        <v>6.3991888796075758</v>
      </c>
    </row>
    <row r="259" spans="1:9">
      <c r="A259" s="24">
        <v>2034</v>
      </c>
      <c r="B259">
        <v>26</v>
      </c>
      <c r="C259">
        <v>584</v>
      </c>
      <c r="D259">
        <v>22.746156020414858</v>
      </c>
      <c r="E259">
        <v>28.974017064803682</v>
      </c>
      <c r="F259">
        <v>43.625381819599021</v>
      </c>
      <c r="H259">
        <v>1</v>
      </c>
      <c r="I259">
        <v>1</v>
      </c>
    </row>
    <row r="260" spans="1:9">
      <c r="A260" s="24">
        <v>2035</v>
      </c>
      <c r="B260">
        <v>40</v>
      </c>
      <c r="C260">
        <v>0</v>
      </c>
      <c r="D260">
        <v>0</v>
      </c>
      <c r="E260">
        <v>0</v>
      </c>
      <c r="F260">
        <v>0</v>
      </c>
    </row>
    <row r="261" spans="1:9">
      <c r="A261" s="24">
        <v>2038</v>
      </c>
      <c r="B261">
        <v>7</v>
      </c>
      <c r="C261">
        <v>129</v>
      </c>
      <c r="D261">
        <v>-12.296553193791915</v>
      </c>
      <c r="E261">
        <v>-17.305853181208015</v>
      </c>
      <c r="F261">
        <v>-29.820922242918449</v>
      </c>
    </row>
    <row r="262" spans="1:9">
      <c r="A262" s="24">
        <v>2049</v>
      </c>
      <c r="B262">
        <v>276</v>
      </c>
      <c r="C262">
        <v>1519</v>
      </c>
      <c r="D262">
        <v>108.07599095258138</v>
      </c>
      <c r="E262">
        <v>144.36252320996022</v>
      </c>
      <c r="F262">
        <v>232.70596089694249</v>
      </c>
    </row>
    <row r="263" spans="1:9">
      <c r="A263" s="24">
        <v>2059</v>
      </c>
      <c r="B263">
        <v>325</v>
      </c>
      <c r="C263">
        <v>235</v>
      </c>
      <c r="D263">
        <v>148.71362804731257</v>
      </c>
      <c r="E263">
        <v>198.38631385566404</v>
      </c>
      <c r="F263">
        <v>319.22623090517487</v>
      </c>
    </row>
    <row r="264" spans="1:9">
      <c r="A264" s="24">
        <v>2061</v>
      </c>
      <c r="B264">
        <v>10</v>
      </c>
      <c r="C264">
        <v>14</v>
      </c>
      <c r="D264">
        <v>-11.660788779992467</v>
      </c>
      <c r="E264">
        <v>-16.720427772954352</v>
      </c>
      <c r="F264">
        <v>-29.453717464662027</v>
      </c>
    </row>
    <row r="265" spans="1:9">
      <c r="A265" s="24">
        <v>2062</v>
      </c>
      <c r="B265">
        <v>32</v>
      </c>
      <c r="C265">
        <v>89</v>
      </c>
      <c r="D265">
        <v>13.447095621750346</v>
      </c>
      <c r="E265">
        <v>18.768665077903322</v>
      </c>
      <c r="F265">
        <v>32.017142507981056</v>
      </c>
      <c r="I265">
        <v>1</v>
      </c>
    </row>
    <row r="266" spans="1:9">
      <c r="A266" s="24">
        <v>2063</v>
      </c>
      <c r="B266">
        <v>38</v>
      </c>
      <c r="C266">
        <v>78</v>
      </c>
      <c r="D266">
        <v>40.335419110767376</v>
      </c>
      <c r="E266">
        <v>51.552943198521035</v>
      </c>
      <c r="F266">
        <v>78.02001524460573</v>
      </c>
      <c r="G266">
        <v>1</v>
      </c>
      <c r="H266">
        <v>1</v>
      </c>
      <c r="I266">
        <v>1</v>
      </c>
    </row>
    <row r="267" spans="1:9">
      <c r="A267" s="24">
        <v>2064</v>
      </c>
      <c r="B267">
        <v>14</v>
      </c>
      <c r="C267">
        <v>3</v>
      </c>
      <c r="D267">
        <v>12.833901459948088</v>
      </c>
      <c r="E267">
        <v>16.388104206272523</v>
      </c>
      <c r="F267">
        <v>24.767471679304656</v>
      </c>
      <c r="H267">
        <v>1</v>
      </c>
      <c r="I267">
        <v>1</v>
      </c>
    </row>
    <row r="268" spans="1:9">
      <c r="A268" s="24">
        <v>2065</v>
      </c>
      <c r="B268">
        <v>41</v>
      </c>
      <c r="C268">
        <v>124</v>
      </c>
      <c r="D268">
        <v>34.470179655817077</v>
      </c>
      <c r="E268">
        <v>43.888424715676379</v>
      </c>
      <c r="F268">
        <v>66.036600995476746</v>
      </c>
      <c r="H268">
        <v>1</v>
      </c>
      <c r="I268">
        <v>1</v>
      </c>
    </row>
    <row r="269" spans="1:9">
      <c r="A269" s="24">
        <v>2066</v>
      </c>
      <c r="B269">
        <v>78</v>
      </c>
      <c r="C269">
        <v>7</v>
      </c>
      <c r="D269">
        <v>31.854041526004856</v>
      </c>
      <c r="E269">
        <v>41.636654605787641</v>
      </c>
      <c r="F269">
        <v>65.122597345550901</v>
      </c>
    </row>
    <row r="270" spans="1:9">
      <c r="A270" s="24">
        <v>2067</v>
      </c>
      <c r="B270">
        <v>12</v>
      </c>
      <c r="C270">
        <v>2</v>
      </c>
      <c r="D270">
        <v>6.7676848911904983</v>
      </c>
      <c r="E270">
        <v>9.1496950809409086</v>
      </c>
      <c r="F270">
        <v>14.988756864513528</v>
      </c>
      <c r="I270">
        <v>1</v>
      </c>
    </row>
    <row r="271" spans="1:9">
      <c r="A271" s="24">
        <v>2069</v>
      </c>
      <c r="B271">
        <v>22</v>
      </c>
      <c r="C271">
        <v>414</v>
      </c>
      <c r="D271">
        <v>32.732917206658328</v>
      </c>
      <c r="E271">
        <v>40.094003944366776</v>
      </c>
      <c r="F271">
        <v>56.699314695437309</v>
      </c>
      <c r="G271">
        <v>1</v>
      </c>
      <c r="H271">
        <v>1</v>
      </c>
      <c r="I271">
        <v>1</v>
      </c>
    </row>
    <row r="272" spans="1:9">
      <c r="A272" s="24">
        <v>2070</v>
      </c>
      <c r="B272">
        <v>33</v>
      </c>
      <c r="C272">
        <v>9</v>
      </c>
      <c r="D272">
        <v>17.714139669125341</v>
      </c>
      <c r="E272">
        <v>23.414809467256269</v>
      </c>
      <c r="F272">
        <v>37.204177638346899</v>
      </c>
      <c r="I272">
        <v>1</v>
      </c>
    </row>
    <row r="273" spans="1:9">
      <c r="A273" s="24">
        <v>2101</v>
      </c>
      <c r="B273">
        <v>38</v>
      </c>
      <c r="C273">
        <v>564</v>
      </c>
      <c r="D273">
        <v>9.6102047619953623</v>
      </c>
      <c r="E273">
        <v>13.45764598539423</v>
      </c>
      <c r="F273">
        <v>23.049788006198749</v>
      </c>
    </row>
    <row r="274" spans="1:9">
      <c r="A274" s="24">
        <v>2102</v>
      </c>
      <c r="B274">
        <v>12</v>
      </c>
      <c r="C274">
        <v>1016</v>
      </c>
      <c r="D274">
        <v>13.79363649522853</v>
      </c>
      <c r="E274">
        <v>16.313834399966012</v>
      </c>
      <c r="F274">
        <v>21.683973025259551</v>
      </c>
      <c r="G274">
        <v>1</v>
      </c>
      <c r="H274">
        <v>1</v>
      </c>
      <c r="I274">
        <v>1</v>
      </c>
    </row>
    <row r="275" spans="1:9">
      <c r="A275" s="24">
        <v>2103</v>
      </c>
      <c r="B275">
        <v>27</v>
      </c>
      <c r="C275">
        <v>337</v>
      </c>
      <c r="D275">
        <v>21.447643084203726</v>
      </c>
      <c r="E275">
        <v>27.982104578075901</v>
      </c>
      <c r="F275">
        <v>43.649213261535337</v>
      </c>
      <c r="H275">
        <v>1</v>
      </c>
      <c r="I275">
        <v>1</v>
      </c>
    </row>
    <row r="276" spans="1:9">
      <c r="A276" s="24">
        <v>2104</v>
      </c>
      <c r="B276">
        <v>39</v>
      </c>
      <c r="C276">
        <v>4547</v>
      </c>
      <c r="D276">
        <v>35.097496463263681</v>
      </c>
      <c r="E276">
        <v>45.007666825174013</v>
      </c>
      <c r="F276">
        <v>68.455501414996888</v>
      </c>
      <c r="H276">
        <v>1</v>
      </c>
      <c r="I276">
        <v>1</v>
      </c>
    </row>
    <row r="277" spans="1:9">
      <c r="A277" s="24">
        <v>2105</v>
      </c>
      <c r="B277">
        <v>40</v>
      </c>
      <c r="C277">
        <v>2549</v>
      </c>
      <c r="D277">
        <v>26.512900856955323</v>
      </c>
      <c r="E277">
        <v>35.946310692860663</v>
      </c>
      <c r="F277">
        <v>59.105772798157702</v>
      </c>
      <c r="I277">
        <v>1</v>
      </c>
    </row>
    <row r="278" spans="1:9">
      <c r="A278" s="24">
        <v>2106</v>
      </c>
      <c r="B278">
        <v>29</v>
      </c>
      <c r="C278">
        <v>167</v>
      </c>
      <c r="D278">
        <v>21.157093813355736</v>
      </c>
      <c r="E278">
        <v>28.083911970627959</v>
      </c>
      <c r="F278">
        <v>44.88391827900584</v>
      </c>
      <c r="I278">
        <v>1</v>
      </c>
    </row>
    <row r="279" spans="1:9">
      <c r="A279" s="24">
        <v>2107</v>
      </c>
      <c r="B279">
        <v>19</v>
      </c>
      <c r="C279">
        <v>833</v>
      </c>
      <c r="D279">
        <v>8.2667231468984106</v>
      </c>
      <c r="E279">
        <v>10.986469133463242</v>
      </c>
      <c r="F279">
        <v>17.587742724146423</v>
      </c>
    </row>
    <row r="280" spans="1:9">
      <c r="A280" s="24">
        <v>2108</v>
      </c>
      <c r="B280">
        <v>35</v>
      </c>
      <c r="C280">
        <v>203</v>
      </c>
      <c r="D280">
        <v>30.999651317424046</v>
      </c>
      <c r="E280">
        <v>39.558536431335909</v>
      </c>
      <c r="F280">
        <v>59.725431894690587</v>
      </c>
      <c r="H280">
        <v>1</v>
      </c>
      <c r="I280">
        <v>1</v>
      </c>
    </row>
    <row r="281" spans="1:9">
      <c r="A281" s="24">
        <v>2109</v>
      </c>
      <c r="B281">
        <v>11</v>
      </c>
      <c r="C281">
        <v>29</v>
      </c>
      <c r="D281">
        <v>-1.257719671303891</v>
      </c>
      <c r="E281">
        <v>-1.4875142205124074</v>
      </c>
      <c r="F281">
        <v>-1.9771696488685846</v>
      </c>
    </row>
    <row r="282" spans="1:9">
      <c r="A282" s="24">
        <v>2114</v>
      </c>
      <c r="B282">
        <v>89</v>
      </c>
      <c r="C282">
        <v>30</v>
      </c>
      <c r="D282">
        <v>59.767997308894977</v>
      </c>
      <c r="E282">
        <v>77.380728829539947</v>
      </c>
      <c r="F282">
        <v>119.37073196480006</v>
      </c>
      <c r="I282">
        <v>1</v>
      </c>
    </row>
    <row r="283" spans="1:9">
      <c r="A283" s="24">
        <v>2115</v>
      </c>
      <c r="B283">
        <v>41</v>
      </c>
      <c r="C283">
        <v>18</v>
      </c>
      <c r="D283">
        <v>25.532578655100032</v>
      </c>
      <c r="E283">
        <v>33.768944579873803</v>
      </c>
      <c r="F283">
        <v>53.699334743716108</v>
      </c>
      <c r="I283">
        <v>1</v>
      </c>
    </row>
    <row r="284" spans="1:9">
      <c r="A284" s="24">
        <v>2201</v>
      </c>
      <c r="B284">
        <v>24</v>
      </c>
      <c r="C284">
        <v>23432</v>
      </c>
      <c r="D284">
        <v>23.568201856956769</v>
      </c>
      <c r="E284">
        <v>31.681463005122836</v>
      </c>
      <c r="F284">
        <v>51.506677502029653</v>
      </c>
      <c r="H284">
        <v>1</v>
      </c>
      <c r="I284">
        <v>1</v>
      </c>
    </row>
    <row r="285" spans="1:9">
      <c r="A285" s="24">
        <v>2204</v>
      </c>
      <c r="B285">
        <v>26</v>
      </c>
      <c r="C285">
        <v>1458</v>
      </c>
      <c r="D285">
        <v>19.076750398616959</v>
      </c>
      <c r="E285">
        <v>24.642710270332074</v>
      </c>
      <c r="F285">
        <v>37.889351316510556</v>
      </c>
      <c r="I285">
        <v>1</v>
      </c>
    </row>
    <row r="286" spans="1:9">
      <c r="A286" s="24">
        <v>2206</v>
      </c>
      <c r="B286">
        <v>21</v>
      </c>
      <c r="C286">
        <v>799</v>
      </c>
      <c r="D286">
        <v>2.4046808920641989</v>
      </c>
      <c r="E286">
        <v>3.4541337768650471</v>
      </c>
      <c r="F286">
        <v>6.0969285627539938</v>
      </c>
    </row>
    <row r="287" spans="1:9">
      <c r="A287" s="24">
        <v>2207</v>
      </c>
      <c r="B287">
        <v>452</v>
      </c>
      <c r="C287">
        <v>212</v>
      </c>
      <c r="D287">
        <v>201.92129451622037</v>
      </c>
      <c r="E287">
        <v>265.39087116053338</v>
      </c>
      <c r="F287">
        <v>418.34569603064483</v>
      </c>
    </row>
    <row r="288" spans="1:9">
      <c r="A288" s="24">
        <v>2208</v>
      </c>
      <c r="B288">
        <v>27</v>
      </c>
      <c r="C288">
        <v>1290</v>
      </c>
      <c r="D288">
        <v>-12.438532306927927</v>
      </c>
      <c r="E288">
        <v>-14.711142801540632</v>
      </c>
      <c r="F288">
        <v>-19.553712257862131</v>
      </c>
    </row>
    <row r="289" spans="1:9">
      <c r="A289" s="24">
        <v>2221</v>
      </c>
      <c r="B289">
        <v>35</v>
      </c>
      <c r="C289">
        <v>43</v>
      </c>
      <c r="D289">
        <v>27.601980666765254</v>
      </c>
      <c r="E289">
        <v>35.725272918393927</v>
      </c>
      <c r="F289">
        <v>55.08740020117699</v>
      </c>
      <c r="H289">
        <v>1</v>
      </c>
      <c r="I289">
        <v>1</v>
      </c>
    </row>
    <row r="290" spans="1:9">
      <c r="A290" s="24">
        <v>2227</v>
      </c>
      <c r="B290">
        <v>275</v>
      </c>
      <c r="C290">
        <v>139</v>
      </c>
      <c r="D290">
        <v>237.13253588080488</v>
      </c>
      <c r="E290">
        <v>301.28836259625558</v>
      </c>
      <c r="F290">
        <v>451.87553545686961</v>
      </c>
      <c r="H290">
        <v>1</v>
      </c>
      <c r="I290">
        <v>1</v>
      </c>
    </row>
    <row r="291" spans="1:9">
      <c r="A291" s="24">
        <v>2228</v>
      </c>
      <c r="B291">
        <v>108</v>
      </c>
      <c r="C291">
        <v>1524</v>
      </c>
      <c r="D291">
        <v>54.999124257530795</v>
      </c>
      <c r="E291">
        <v>71.569028760913994</v>
      </c>
      <c r="F291">
        <v>111.22263176332694</v>
      </c>
      <c r="I291">
        <v>1</v>
      </c>
    </row>
    <row r="292" spans="1:9">
      <c r="A292" s="24">
        <v>2230</v>
      </c>
      <c r="B292">
        <v>15</v>
      </c>
      <c r="C292">
        <v>1</v>
      </c>
      <c r="D292">
        <v>8.1221191112152944</v>
      </c>
      <c r="E292">
        <v>10.29983028076885</v>
      </c>
      <c r="F292">
        <v>15.402502208788547</v>
      </c>
      <c r="I292">
        <v>1</v>
      </c>
    </row>
    <row r="293" spans="1:9">
      <c r="A293" s="24">
        <v>2231</v>
      </c>
      <c r="B293">
        <v>290</v>
      </c>
      <c r="C293">
        <v>1361</v>
      </c>
      <c r="D293">
        <v>257.08983121283205</v>
      </c>
      <c r="E293">
        <v>355.28451047201878</v>
      </c>
      <c r="F293">
        <v>598.65699035311445</v>
      </c>
      <c r="H293">
        <v>1</v>
      </c>
      <c r="I293">
        <v>1</v>
      </c>
    </row>
    <row r="294" spans="1:9">
      <c r="A294" s="24">
        <v>2233</v>
      </c>
      <c r="B294">
        <v>75</v>
      </c>
      <c r="C294">
        <v>451</v>
      </c>
      <c r="D294">
        <v>61.958231985284563</v>
      </c>
      <c r="E294">
        <v>79.366105252546248</v>
      </c>
      <c r="F294">
        <v>120.51638842866178</v>
      </c>
      <c r="H294">
        <v>1</v>
      </c>
      <c r="I294">
        <v>1</v>
      </c>
    </row>
    <row r="295" spans="1:9">
      <c r="A295" s="24">
        <v>2235</v>
      </c>
      <c r="B295">
        <v>65</v>
      </c>
      <c r="C295">
        <v>16</v>
      </c>
      <c r="D295">
        <v>34.200111950184379</v>
      </c>
      <c r="E295">
        <v>45.15875930325727</v>
      </c>
      <c r="F295">
        <v>71.648713297914682</v>
      </c>
      <c r="I295">
        <v>1</v>
      </c>
    </row>
    <row r="296" spans="1:9">
      <c r="A296" s="24">
        <v>2236</v>
      </c>
      <c r="B296">
        <v>26</v>
      </c>
      <c r="C296">
        <v>6</v>
      </c>
      <c r="D296">
        <v>26.683265304071391</v>
      </c>
      <c r="E296">
        <v>34.459253938528683</v>
      </c>
      <c r="F296">
        <v>52.961746572497006</v>
      </c>
      <c r="G296">
        <v>1</v>
      </c>
      <c r="H296">
        <v>1</v>
      </c>
      <c r="I296">
        <v>1</v>
      </c>
    </row>
    <row r="297" spans="1:9">
      <c r="A297" s="24">
        <v>2239</v>
      </c>
      <c r="B297">
        <v>106</v>
      </c>
      <c r="C297">
        <v>81</v>
      </c>
      <c r="D297">
        <v>69.963113003231172</v>
      </c>
      <c r="E297">
        <v>93.481908191522564</v>
      </c>
      <c r="F297">
        <v>150.7513229566037</v>
      </c>
      <c r="I297">
        <v>1</v>
      </c>
    </row>
    <row r="298" spans="1:9">
      <c r="A298" s="24">
        <v>2243</v>
      </c>
      <c r="B298">
        <v>15</v>
      </c>
      <c r="C298">
        <v>6</v>
      </c>
      <c r="D298">
        <v>-3.4263680441986177</v>
      </c>
      <c r="E298">
        <v>-4.8293801733530941</v>
      </c>
      <c r="F298">
        <v>-8.3367704911299167</v>
      </c>
    </row>
    <row r="299" spans="1:9">
      <c r="A299" s="24">
        <v>2301</v>
      </c>
      <c r="B299">
        <v>43</v>
      </c>
      <c r="C299">
        <v>5293</v>
      </c>
      <c r="D299">
        <v>44.119987795828912</v>
      </c>
      <c r="E299">
        <v>56.255952477111506</v>
      </c>
      <c r="F299">
        <v>84.831331775702679</v>
      </c>
      <c r="G299">
        <v>1</v>
      </c>
      <c r="H299">
        <v>1</v>
      </c>
      <c r="I299">
        <v>1</v>
      </c>
    </row>
    <row r="300" spans="1:9">
      <c r="A300" s="24">
        <v>2302</v>
      </c>
      <c r="B300">
        <v>8</v>
      </c>
      <c r="C300">
        <v>199</v>
      </c>
      <c r="D300">
        <v>1.9502388876969052</v>
      </c>
      <c r="E300">
        <v>2.7209562609806817</v>
      </c>
      <c r="F300">
        <v>4.6393895110824799</v>
      </c>
    </row>
    <row r="301" spans="1:9">
      <c r="A301" s="24">
        <v>2303</v>
      </c>
      <c r="B301">
        <v>13</v>
      </c>
      <c r="C301">
        <v>68166</v>
      </c>
      <c r="D301">
        <v>1.3689965670058872</v>
      </c>
      <c r="E301">
        <v>1.779135940231134</v>
      </c>
      <c r="F301">
        <v>2.7597125341970949</v>
      </c>
    </row>
    <row r="302" spans="1:9">
      <c r="A302" s="24">
        <v>2305</v>
      </c>
      <c r="B302">
        <v>6</v>
      </c>
      <c r="C302">
        <v>695</v>
      </c>
      <c r="D302">
        <v>6.9396598008568713</v>
      </c>
      <c r="E302">
        <v>9.9507917224427285</v>
      </c>
      <c r="F302">
        <v>17.528726652352848</v>
      </c>
      <c r="G302">
        <v>1</v>
      </c>
      <c r="H302">
        <v>1</v>
      </c>
      <c r="I302">
        <v>1</v>
      </c>
    </row>
    <row r="303" spans="1:9">
      <c r="A303" s="24">
        <v>2308</v>
      </c>
      <c r="B303">
        <v>150</v>
      </c>
      <c r="C303">
        <v>3023</v>
      </c>
      <c r="D303">
        <v>82.891791635349819</v>
      </c>
      <c r="E303">
        <v>110.36664209731246</v>
      </c>
      <c r="F303">
        <v>177.12796753354237</v>
      </c>
      <c r="I303">
        <v>1</v>
      </c>
    </row>
    <row r="304" spans="1:9">
      <c r="A304" s="24">
        <v>2312</v>
      </c>
      <c r="B304">
        <v>10</v>
      </c>
      <c r="C304">
        <v>1084</v>
      </c>
      <c r="D304">
        <v>7.4301909028175626</v>
      </c>
      <c r="E304">
        <v>9.9490152152197684</v>
      </c>
      <c r="F304">
        <v>16.090114971335169</v>
      </c>
      <c r="I304">
        <v>1</v>
      </c>
    </row>
    <row r="305" spans="1:9">
      <c r="A305" s="24">
        <v>2313</v>
      </c>
      <c r="B305">
        <v>27</v>
      </c>
      <c r="C305">
        <v>17478</v>
      </c>
      <c r="D305">
        <v>13.987089679875361</v>
      </c>
      <c r="E305">
        <v>18.24852796574914</v>
      </c>
      <c r="F305">
        <v>28.465801621326346</v>
      </c>
      <c r="I305">
        <v>1</v>
      </c>
    </row>
    <row r="306" spans="1:9">
      <c r="A306" s="24">
        <v>2314</v>
      </c>
      <c r="B306">
        <v>27</v>
      </c>
      <c r="C306">
        <v>3123</v>
      </c>
      <c r="D306">
        <v>10.265460430568668</v>
      </c>
      <c r="E306">
        <v>14.594585000945061</v>
      </c>
      <c r="F306">
        <v>25.454334200837604</v>
      </c>
    </row>
    <row r="307" spans="1:9">
      <c r="A307" s="24">
        <v>2316</v>
      </c>
      <c r="B307">
        <v>28</v>
      </c>
      <c r="C307">
        <v>13886</v>
      </c>
      <c r="D307">
        <v>11.183647669636231</v>
      </c>
      <c r="E307">
        <v>14.732700803095444</v>
      </c>
      <c r="F307">
        <v>23.298595887864685</v>
      </c>
    </row>
    <row r="308" spans="1:9">
      <c r="A308" s="24">
        <v>2317</v>
      </c>
      <c r="B308">
        <v>78</v>
      </c>
      <c r="C308">
        <v>22090</v>
      </c>
      <c r="D308">
        <v>55.827612308251169</v>
      </c>
      <c r="E308">
        <v>72.390555872533227</v>
      </c>
      <c r="F308">
        <v>111.92381192867074</v>
      </c>
      <c r="I308">
        <v>1</v>
      </c>
    </row>
    <row r="309" spans="1:9">
      <c r="A309" s="24">
        <v>2321</v>
      </c>
      <c r="B309">
        <v>2</v>
      </c>
      <c r="C309">
        <v>37</v>
      </c>
      <c r="D309">
        <v>0</v>
      </c>
      <c r="E309">
        <v>0</v>
      </c>
      <c r="F309">
        <v>0</v>
      </c>
    </row>
    <row r="310" spans="1:9">
      <c r="A310" s="24">
        <v>2323</v>
      </c>
      <c r="B310">
        <v>7</v>
      </c>
      <c r="C310">
        <v>7564</v>
      </c>
      <c r="D310">
        <v>0.86162834769837882</v>
      </c>
      <c r="E310">
        <v>1.2354905681457724</v>
      </c>
      <c r="F310">
        <v>2.176367173050537</v>
      </c>
    </row>
    <row r="311" spans="1:9">
      <c r="A311" s="24">
        <v>2324</v>
      </c>
      <c r="B311">
        <v>19</v>
      </c>
      <c r="C311">
        <v>8681</v>
      </c>
      <c r="D311">
        <v>16.891618192742666</v>
      </c>
      <c r="E311">
        <v>21.560512864786325</v>
      </c>
      <c r="F311">
        <v>32.563894096805463</v>
      </c>
      <c r="H311">
        <v>1</v>
      </c>
      <c r="I311">
        <v>1</v>
      </c>
    </row>
    <row r="312" spans="1:9">
      <c r="A312" s="24">
        <v>2327</v>
      </c>
      <c r="B312">
        <v>260</v>
      </c>
      <c r="C312">
        <v>3597</v>
      </c>
      <c r="D312">
        <v>499.933002428348</v>
      </c>
      <c r="E312">
        <v>611.87108603840909</v>
      </c>
      <c r="F312">
        <v>864.11912910716819</v>
      </c>
      <c r="G312">
        <v>1</v>
      </c>
      <c r="H312">
        <v>1</v>
      </c>
      <c r="I312">
        <v>1</v>
      </c>
    </row>
    <row r="313" spans="1:9">
      <c r="A313" s="24">
        <v>2328</v>
      </c>
      <c r="B313">
        <v>25</v>
      </c>
      <c r="C313">
        <v>4834</v>
      </c>
      <c r="D313">
        <v>19.102574582828208</v>
      </c>
      <c r="E313">
        <v>24.846878182961213</v>
      </c>
      <c r="F313">
        <v>38.589247416041822</v>
      </c>
      <c r="I313">
        <v>1</v>
      </c>
    </row>
    <row r="314" spans="1:9">
      <c r="A314" s="24">
        <v>2329</v>
      </c>
      <c r="B314">
        <v>16</v>
      </c>
      <c r="C314">
        <v>4966</v>
      </c>
      <c r="D314">
        <v>-28.775389844959943</v>
      </c>
      <c r="E314">
        <v>-41.261087617570894</v>
      </c>
      <c r="F314">
        <v>-72.683093607112099</v>
      </c>
    </row>
    <row r="315" spans="1:9">
      <c r="A315" s="24">
        <v>2330</v>
      </c>
      <c r="B315">
        <v>261</v>
      </c>
      <c r="C315">
        <v>20768</v>
      </c>
      <c r="D315">
        <v>112.46518219021706</v>
      </c>
      <c r="E315">
        <v>150.02959807733427</v>
      </c>
      <c r="F315">
        <v>241.41317815078961</v>
      </c>
    </row>
    <row r="316" spans="1:9">
      <c r="A316" s="24">
        <v>2331</v>
      </c>
      <c r="B316">
        <v>11</v>
      </c>
      <c r="C316">
        <v>230</v>
      </c>
      <c r="D316">
        <v>1.27506639397052</v>
      </c>
      <c r="E316">
        <v>1.7456200291630208</v>
      </c>
      <c r="F316">
        <v>2.9066273831622418</v>
      </c>
    </row>
    <row r="317" spans="1:9">
      <c r="A317" s="24">
        <v>2332</v>
      </c>
      <c r="B317">
        <v>13</v>
      </c>
      <c r="C317">
        <v>4481</v>
      </c>
      <c r="D317">
        <v>14.12089716463046</v>
      </c>
      <c r="E317">
        <v>19.507272382723425</v>
      </c>
      <c r="F317">
        <v>32.854986867482978</v>
      </c>
      <c r="G317">
        <v>1</v>
      </c>
      <c r="H317">
        <v>1</v>
      </c>
      <c r="I317">
        <v>1</v>
      </c>
    </row>
    <row r="318" spans="1:9">
      <c r="A318" s="24">
        <v>2337</v>
      </c>
      <c r="B318">
        <v>32</v>
      </c>
      <c r="C318">
        <v>55894</v>
      </c>
      <c r="D318">
        <v>9.3623241503478702</v>
      </c>
      <c r="E318">
        <v>12.563164930560244</v>
      </c>
      <c r="F318">
        <v>20.376783592463866</v>
      </c>
    </row>
    <row r="319" spans="1:9">
      <c r="A319" s="24">
        <v>2338</v>
      </c>
      <c r="B319">
        <v>26</v>
      </c>
      <c r="C319">
        <v>2961</v>
      </c>
      <c r="D319">
        <v>6.0125279549913575</v>
      </c>
      <c r="E319">
        <v>8.4394910490340642</v>
      </c>
      <c r="F319">
        <v>14.496244226765372</v>
      </c>
    </row>
    <row r="320" spans="1:9">
      <c r="A320" s="24">
        <v>2340</v>
      </c>
      <c r="B320">
        <v>24</v>
      </c>
      <c r="C320">
        <v>6982</v>
      </c>
      <c r="D320">
        <v>27.717195173816343</v>
      </c>
      <c r="E320">
        <v>37.771623174362468</v>
      </c>
      <c r="F320">
        <v>62.521597065411669</v>
      </c>
      <c r="G320">
        <v>1</v>
      </c>
      <c r="H320">
        <v>1</v>
      </c>
      <c r="I320">
        <v>1</v>
      </c>
    </row>
    <row r="321" spans="1:9">
      <c r="A321" s="24">
        <v>2342</v>
      </c>
      <c r="B321">
        <v>21</v>
      </c>
      <c r="C321">
        <v>4282</v>
      </c>
      <c r="D321">
        <v>5.0156152580922662</v>
      </c>
      <c r="E321">
        <v>7.1363387797534781</v>
      </c>
      <c r="F321">
        <v>12.457845012397838</v>
      </c>
    </row>
    <row r="322" spans="1:9">
      <c r="A322" s="24">
        <v>2344</v>
      </c>
      <c r="B322">
        <v>19</v>
      </c>
      <c r="C322">
        <v>147527</v>
      </c>
      <c r="D322">
        <v>8.3887882067108848</v>
      </c>
      <c r="E322">
        <v>10.857996189071281</v>
      </c>
      <c r="F322">
        <v>16.743589181686016</v>
      </c>
    </row>
    <row r="323" spans="1:9">
      <c r="A323" s="24">
        <v>2345</v>
      </c>
      <c r="B323">
        <v>138</v>
      </c>
      <c r="C323">
        <v>3100</v>
      </c>
      <c r="D323">
        <v>67.779882602869591</v>
      </c>
      <c r="E323">
        <v>89.448259655938216</v>
      </c>
      <c r="F323">
        <v>141.80741384309417</v>
      </c>
      <c r="I323">
        <v>1</v>
      </c>
    </row>
    <row r="324" spans="1:9">
      <c r="A324" s="24">
        <v>2347</v>
      </c>
      <c r="B324">
        <v>38</v>
      </c>
      <c r="C324">
        <v>1717</v>
      </c>
      <c r="D324">
        <v>29.333287212533847</v>
      </c>
      <c r="E324">
        <v>37.52078446380709</v>
      </c>
      <c r="F324">
        <v>56.851708123306679</v>
      </c>
      <c r="I324">
        <v>1</v>
      </c>
    </row>
    <row r="325" spans="1:9">
      <c r="A325" s="24">
        <v>2348</v>
      </c>
      <c r="B325">
        <v>49</v>
      </c>
      <c r="C325">
        <v>335</v>
      </c>
      <c r="D325">
        <v>26.68072496131035</v>
      </c>
      <c r="E325">
        <v>34.660157869617805</v>
      </c>
      <c r="F325">
        <v>53.732044883868284</v>
      </c>
      <c r="I325">
        <v>1</v>
      </c>
    </row>
    <row r="326" spans="1:9">
      <c r="A326" s="24">
        <v>2349</v>
      </c>
      <c r="B326">
        <v>9</v>
      </c>
      <c r="C326">
        <v>3379</v>
      </c>
      <c r="D326">
        <v>0</v>
      </c>
      <c r="E326">
        <v>0</v>
      </c>
      <c r="F326">
        <v>0</v>
      </c>
    </row>
    <row r="327" spans="1:9">
      <c r="A327" s="24">
        <v>2351</v>
      </c>
      <c r="B327">
        <v>67</v>
      </c>
      <c r="C327">
        <v>1601</v>
      </c>
      <c r="D327">
        <v>45.331428544137879</v>
      </c>
      <c r="E327">
        <v>59.706396927830085</v>
      </c>
      <c r="F327">
        <v>94.397332507983748</v>
      </c>
      <c r="I327">
        <v>1</v>
      </c>
    </row>
    <row r="328" spans="1:9">
      <c r="A328" s="24">
        <v>2352</v>
      </c>
      <c r="B328">
        <v>20</v>
      </c>
      <c r="C328">
        <v>2560</v>
      </c>
      <c r="D328">
        <v>15.009702424111605</v>
      </c>
      <c r="E328">
        <v>19.649652220465352</v>
      </c>
      <c r="F328">
        <v>30.801206506440359</v>
      </c>
      <c r="I328">
        <v>1</v>
      </c>
    </row>
    <row r="329" spans="1:9">
      <c r="A329" s="24">
        <v>2353</v>
      </c>
      <c r="B329">
        <v>19</v>
      </c>
      <c r="C329">
        <v>7548</v>
      </c>
      <c r="D329">
        <v>11.691220714733795</v>
      </c>
      <c r="E329">
        <v>15.364639671552055</v>
      </c>
      <c r="F329">
        <v>24.216616089723864</v>
      </c>
      <c r="I329">
        <v>1</v>
      </c>
    </row>
    <row r="330" spans="1:9">
      <c r="A330" s="24">
        <v>2354</v>
      </c>
      <c r="B330">
        <v>64</v>
      </c>
      <c r="C330">
        <v>1915</v>
      </c>
      <c r="D330">
        <v>38.476880423495928</v>
      </c>
      <c r="E330">
        <v>50.264656534853501</v>
      </c>
      <c r="F330">
        <v>78.553160503140901</v>
      </c>
      <c r="I330">
        <v>1</v>
      </c>
    </row>
    <row r="331" spans="1:9">
      <c r="A331" s="24">
        <v>2355</v>
      </c>
      <c r="B331">
        <v>34</v>
      </c>
      <c r="C331">
        <v>684</v>
      </c>
      <c r="D331">
        <v>19.97229297130945</v>
      </c>
      <c r="E331">
        <v>27.783821361681053</v>
      </c>
      <c r="F331">
        <v>47.202845419651247</v>
      </c>
      <c r="I331">
        <v>1</v>
      </c>
    </row>
    <row r="332" spans="1:9">
      <c r="A332" s="24">
        <v>2356</v>
      </c>
      <c r="B332">
        <v>24</v>
      </c>
      <c r="C332">
        <v>3292</v>
      </c>
      <c r="D332">
        <v>18.200786193437239</v>
      </c>
      <c r="E332">
        <v>23.370262185712001</v>
      </c>
      <c r="F332">
        <v>35.614493639319562</v>
      </c>
      <c r="I332">
        <v>1</v>
      </c>
    </row>
    <row r="333" spans="1:9">
      <c r="A333" s="24">
        <v>2357</v>
      </c>
      <c r="B333">
        <v>220</v>
      </c>
      <c r="C333">
        <v>1717</v>
      </c>
      <c r="D333">
        <v>280.26758219407157</v>
      </c>
      <c r="E333">
        <v>360.85452307049752</v>
      </c>
      <c r="F333">
        <v>552.15161926402823</v>
      </c>
      <c r="G333">
        <v>1</v>
      </c>
      <c r="H333">
        <v>1</v>
      </c>
      <c r="I333">
        <v>1</v>
      </c>
    </row>
    <row r="334" spans="1:9">
      <c r="A334" s="24">
        <v>2358</v>
      </c>
      <c r="B334">
        <v>15</v>
      </c>
      <c r="C334">
        <v>143</v>
      </c>
      <c r="D334">
        <v>4.4556487654076484</v>
      </c>
      <c r="E334">
        <v>6.3889634542972953</v>
      </c>
      <c r="F334">
        <v>11.254420462812964</v>
      </c>
    </row>
    <row r="335" spans="1:9">
      <c r="A335" s="24">
        <v>2359</v>
      </c>
      <c r="B335">
        <v>20</v>
      </c>
      <c r="C335">
        <v>515</v>
      </c>
      <c r="D335">
        <v>18.672369669447441</v>
      </c>
      <c r="E335">
        <v>23.386330444249214</v>
      </c>
      <c r="F335">
        <v>34.298951380119114</v>
      </c>
      <c r="H335">
        <v>1</v>
      </c>
      <c r="I335">
        <v>1</v>
      </c>
    </row>
    <row r="336" spans="1:9">
      <c r="A336" s="24">
        <v>2360</v>
      </c>
      <c r="B336">
        <v>158</v>
      </c>
      <c r="C336">
        <v>3454</v>
      </c>
      <c r="D336">
        <v>67.441446387721498</v>
      </c>
      <c r="E336">
        <v>89.088776233563507</v>
      </c>
      <c r="F336">
        <v>141.4302635372444</v>
      </c>
    </row>
    <row r="337" spans="1:9">
      <c r="A337" s="24">
        <v>2362</v>
      </c>
      <c r="B337">
        <v>32</v>
      </c>
      <c r="C337">
        <v>245</v>
      </c>
      <c r="D337">
        <v>24.282154998269277</v>
      </c>
      <c r="E337">
        <v>31.581007970155564</v>
      </c>
      <c r="F337">
        <v>49.041187042170421</v>
      </c>
      <c r="I337">
        <v>1</v>
      </c>
    </row>
    <row r="338" spans="1:9">
      <c r="A338" s="24">
        <v>2363</v>
      </c>
      <c r="B338">
        <v>9</v>
      </c>
      <c r="C338">
        <v>740</v>
      </c>
      <c r="D338">
        <v>0</v>
      </c>
      <c r="E338">
        <v>0</v>
      </c>
      <c r="F338">
        <v>0</v>
      </c>
    </row>
    <row r="339" spans="1:9">
      <c r="A339" s="24">
        <v>2364</v>
      </c>
      <c r="B339">
        <v>2</v>
      </c>
      <c r="C339">
        <v>32</v>
      </c>
      <c r="D339">
        <v>0</v>
      </c>
      <c r="E339">
        <v>0</v>
      </c>
      <c r="F339">
        <v>0</v>
      </c>
    </row>
    <row r="340" spans="1:9">
      <c r="A340" s="24">
        <v>2365</v>
      </c>
      <c r="B340">
        <v>8</v>
      </c>
      <c r="C340">
        <v>158</v>
      </c>
      <c r="D340">
        <v>5.1775718844158982</v>
      </c>
      <c r="E340">
        <v>6.7798911391012995</v>
      </c>
      <c r="F340">
        <v>10.631569974220202</v>
      </c>
      <c r="I340">
        <v>1</v>
      </c>
    </row>
    <row r="341" spans="1:9">
      <c r="A341" s="24">
        <v>2367</v>
      </c>
      <c r="B341">
        <v>24</v>
      </c>
      <c r="C341">
        <v>9767</v>
      </c>
      <c r="D341">
        <v>5.7001722778335271</v>
      </c>
      <c r="E341">
        <v>7.4396131524141955</v>
      </c>
      <c r="F341">
        <v>11.611224801995224</v>
      </c>
    </row>
    <row r="342" spans="1:9">
      <c r="A342" s="24">
        <v>2368</v>
      </c>
      <c r="B342">
        <v>13</v>
      </c>
      <c r="C342">
        <v>8550</v>
      </c>
      <c r="D342">
        <v>4.9705088556553534</v>
      </c>
      <c r="E342">
        <v>7.1272223418036234</v>
      </c>
      <c r="F342">
        <v>12.554893691348376</v>
      </c>
    </row>
    <row r="343" spans="1:9">
      <c r="A343" s="24">
        <v>2369</v>
      </c>
      <c r="B343">
        <v>9</v>
      </c>
      <c r="C343">
        <v>1422</v>
      </c>
      <c r="D343">
        <v>-1.1072397301365802</v>
      </c>
      <c r="E343">
        <v>-1.3095404975156228</v>
      </c>
      <c r="F343">
        <v>-1.7406110744677479</v>
      </c>
    </row>
    <row r="344" spans="1:9">
      <c r="A344" s="24">
        <v>2371</v>
      </c>
      <c r="B344">
        <v>19</v>
      </c>
      <c r="C344">
        <v>16435</v>
      </c>
      <c r="D344">
        <v>0</v>
      </c>
      <c r="E344">
        <v>0</v>
      </c>
      <c r="F344">
        <v>0</v>
      </c>
    </row>
    <row r="345" spans="1:9">
      <c r="A345" s="24">
        <v>2373</v>
      </c>
      <c r="B345">
        <v>97</v>
      </c>
      <c r="C345">
        <v>12</v>
      </c>
      <c r="D345">
        <v>66.240747657369255</v>
      </c>
      <c r="E345">
        <v>85.160574759283861</v>
      </c>
      <c r="F345">
        <v>130.01874252035651</v>
      </c>
      <c r="I345">
        <v>1</v>
      </c>
    </row>
    <row r="346" spans="1:9">
      <c r="A346" s="24">
        <v>2374</v>
      </c>
      <c r="B346">
        <v>18</v>
      </c>
      <c r="C346">
        <v>1045</v>
      </c>
      <c r="D346">
        <v>-4.5093095558727097</v>
      </c>
      <c r="E346">
        <v>-5.3331932719945767</v>
      </c>
      <c r="F346">
        <v>-7.0887576895268163</v>
      </c>
    </row>
    <row r="347" spans="1:9">
      <c r="A347" s="24">
        <v>2375</v>
      </c>
      <c r="B347">
        <v>43</v>
      </c>
      <c r="C347">
        <v>682</v>
      </c>
      <c r="D347">
        <v>106.5137852463473</v>
      </c>
      <c r="E347">
        <v>130.76318885842923</v>
      </c>
      <c r="F347">
        <v>185.62594608383995</v>
      </c>
      <c r="G347">
        <v>1</v>
      </c>
      <c r="H347">
        <v>1</v>
      </c>
      <c r="I347">
        <v>1</v>
      </c>
    </row>
    <row r="348" spans="1:9">
      <c r="A348" s="24">
        <v>2376</v>
      </c>
      <c r="B348">
        <v>49</v>
      </c>
      <c r="C348">
        <v>3025</v>
      </c>
      <c r="D348">
        <v>30.353848562833448</v>
      </c>
      <c r="E348">
        <v>38.631206746785665</v>
      </c>
      <c r="F348">
        <v>58.089232163862732</v>
      </c>
      <c r="I348">
        <v>1</v>
      </c>
    </row>
    <row r="349" spans="1:9">
      <c r="A349" s="24">
        <v>2377</v>
      </c>
      <c r="B349">
        <v>88</v>
      </c>
      <c r="C349">
        <v>2427</v>
      </c>
      <c r="D349">
        <v>58.460362548757999</v>
      </c>
      <c r="E349">
        <v>74.811143206593755</v>
      </c>
      <c r="F349">
        <v>113.43036632289534</v>
      </c>
      <c r="I349">
        <v>1</v>
      </c>
    </row>
    <row r="350" spans="1:9">
      <c r="A350" s="24">
        <v>2379</v>
      </c>
      <c r="B350">
        <v>219</v>
      </c>
      <c r="C350">
        <v>3619</v>
      </c>
      <c r="D350">
        <v>86.130747306956891</v>
      </c>
      <c r="E350">
        <v>113.35457716094535</v>
      </c>
      <c r="F350">
        <v>179.01936419415432</v>
      </c>
    </row>
    <row r="351" spans="1:9">
      <c r="A351" s="24">
        <v>2380</v>
      </c>
      <c r="B351">
        <v>4</v>
      </c>
      <c r="C351">
        <v>107</v>
      </c>
      <c r="D351">
        <v>0</v>
      </c>
      <c r="E351">
        <v>0</v>
      </c>
      <c r="F351">
        <v>0</v>
      </c>
    </row>
    <row r="352" spans="1:9">
      <c r="A352" s="24">
        <v>2382</v>
      </c>
      <c r="B352">
        <v>62</v>
      </c>
      <c r="C352">
        <v>13129</v>
      </c>
      <c r="D352">
        <v>43.92267115644492</v>
      </c>
      <c r="E352">
        <v>57.094314320479143</v>
      </c>
      <c r="F352">
        <v>88.590773164928322</v>
      </c>
      <c r="I352">
        <v>1</v>
      </c>
    </row>
    <row r="353" spans="1:9">
      <c r="A353" s="24">
        <v>2383</v>
      </c>
      <c r="B353">
        <v>124</v>
      </c>
      <c r="C353">
        <v>6911</v>
      </c>
      <c r="D353">
        <v>56.042006280722376</v>
      </c>
      <c r="E353">
        <v>73.472375314990799</v>
      </c>
      <c r="F353">
        <v>115.40593544457903</v>
      </c>
    </row>
    <row r="354" spans="1:9">
      <c r="A354" s="24">
        <v>2385</v>
      </c>
      <c r="B354">
        <v>82</v>
      </c>
      <c r="C354">
        <v>874</v>
      </c>
      <c r="D354">
        <v>49.00866262687191</v>
      </c>
      <c r="E354">
        <v>63.066807492589056</v>
      </c>
      <c r="F354">
        <v>96.423773183176962</v>
      </c>
      <c r="I354">
        <v>1</v>
      </c>
    </row>
    <row r="355" spans="1:9">
      <c r="A355" s="24">
        <v>2387</v>
      </c>
      <c r="B355">
        <v>34</v>
      </c>
      <c r="C355">
        <v>7005</v>
      </c>
      <c r="D355">
        <v>12.696159003565171</v>
      </c>
      <c r="E355">
        <v>17.016773296577764</v>
      </c>
      <c r="F355">
        <v>27.556758953351252</v>
      </c>
    </row>
    <row r="356" spans="1:9">
      <c r="A356" s="24">
        <v>2388</v>
      </c>
      <c r="B356">
        <v>37</v>
      </c>
      <c r="C356">
        <v>4699</v>
      </c>
      <c r="D356">
        <v>11.546660845123196</v>
      </c>
      <c r="E356">
        <v>16.556779504568571</v>
      </c>
      <c r="F356">
        <v>29.165444345931629</v>
      </c>
    </row>
    <row r="357" spans="1:9">
      <c r="A357" s="24">
        <v>2390</v>
      </c>
      <c r="B357">
        <v>12</v>
      </c>
      <c r="C357">
        <v>922</v>
      </c>
      <c r="D357">
        <v>1.3126285882068897E-2</v>
      </c>
      <c r="E357">
        <v>1.5524553966661267E-2</v>
      </c>
      <c r="F357">
        <v>2.0634879648096131E-2</v>
      </c>
    </row>
    <row r="358" spans="1:9">
      <c r="A358" s="24">
        <v>2392</v>
      </c>
      <c r="B358">
        <v>35</v>
      </c>
      <c r="C358">
        <v>2305</v>
      </c>
      <c r="D358">
        <v>13.970637705116173</v>
      </c>
      <c r="E358">
        <v>18.060613500809364</v>
      </c>
      <c r="F358">
        <v>27.800266386752156</v>
      </c>
    </row>
    <row r="359" spans="1:9">
      <c r="A359" s="24">
        <v>2393</v>
      </c>
      <c r="B359">
        <v>30</v>
      </c>
      <c r="C359">
        <v>359</v>
      </c>
      <c r="D359">
        <v>21.983665638546654</v>
      </c>
      <c r="E359">
        <v>28.646715622820416</v>
      </c>
      <c r="F359">
        <v>44.608253538251049</v>
      </c>
      <c r="I359">
        <v>1</v>
      </c>
    </row>
    <row r="360" spans="1:9">
      <c r="A360" s="24">
        <v>2395</v>
      </c>
      <c r="B360">
        <v>264</v>
      </c>
      <c r="C360">
        <v>635</v>
      </c>
      <c r="D360">
        <v>124.78368259304874</v>
      </c>
      <c r="E360">
        <v>167.01915354124193</v>
      </c>
      <c r="F360">
        <v>269.96897383823568</v>
      </c>
      <c r="I360">
        <v>1</v>
      </c>
    </row>
    <row r="361" spans="1:9">
      <c r="A361" s="24">
        <v>2397</v>
      </c>
      <c r="B361">
        <v>82</v>
      </c>
      <c r="C361">
        <v>134</v>
      </c>
      <c r="D361">
        <v>65.820963984740672</v>
      </c>
      <c r="E361">
        <v>84.755751428703661</v>
      </c>
      <c r="F361">
        <v>129.70687926780749</v>
      </c>
      <c r="H361">
        <v>1</v>
      </c>
      <c r="I361">
        <v>1</v>
      </c>
    </row>
    <row r="362" spans="1:9">
      <c r="A362" s="24">
        <v>2399</v>
      </c>
      <c r="B362">
        <v>12</v>
      </c>
      <c r="C362">
        <v>6145</v>
      </c>
      <c r="D362">
        <v>-1.7140038916105149</v>
      </c>
      <c r="E362">
        <v>-2.0271648929057817</v>
      </c>
      <c r="F362">
        <v>-2.6944608960609364</v>
      </c>
    </row>
    <row r="363" spans="1:9">
      <c r="A363" s="24">
        <v>2401</v>
      </c>
      <c r="B363">
        <v>14</v>
      </c>
      <c r="C363">
        <v>3237</v>
      </c>
      <c r="D363">
        <v>25.745784066629625</v>
      </c>
      <c r="E363">
        <v>33.033922744670974</v>
      </c>
      <c r="F363">
        <v>50.285921988007473</v>
      </c>
      <c r="G363">
        <v>1</v>
      </c>
      <c r="H363">
        <v>1</v>
      </c>
      <c r="I363">
        <v>1</v>
      </c>
    </row>
    <row r="364" spans="1:9">
      <c r="A364" s="24">
        <v>2402</v>
      </c>
      <c r="B364">
        <v>17</v>
      </c>
      <c r="C364">
        <v>1341</v>
      </c>
      <c r="D364">
        <v>4.150055737102873</v>
      </c>
      <c r="E364">
        <v>5.6817102836290179</v>
      </c>
      <c r="F364">
        <v>9.4608308601134325</v>
      </c>
    </row>
    <row r="365" spans="1:9">
      <c r="A365" s="24">
        <v>2404</v>
      </c>
      <c r="B365">
        <v>155</v>
      </c>
      <c r="C365">
        <v>2047</v>
      </c>
      <c r="D365">
        <v>130.58221413606577</v>
      </c>
      <c r="E365">
        <v>166.26869551677879</v>
      </c>
      <c r="F365">
        <v>250.19331582809662</v>
      </c>
      <c r="H365">
        <v>1</v>
      </c>
      <c r="I365">
        <v>1</v>
      </c>
    </row>
    <row r="366" spans="1:9">
      <c r="A366" s="24">
        <v>2405</v>
      </c>
      <c r="B366">
        <v>13</v>
      </c>
      <c r="C366">
        <v>2351</v>
      </c>
      <c r="D366">
        <v>0.2311381602332872</v>
      </c>
      <c r="E366">
        <v>0.27336878645910573</v>
      </c>
      <c r="F366">
        <v>0.36335549608984252</v>
      </c>
    </row>
    <row r="367" spans="1:9">
      <c r="A367" s="24">
        <v>2406</v>
      </c>
      <c r="B367">
        <v>8</v>
      </c>
      <c r="C367">
        <v>5964</v>
      </c>
      <c r="D367">
        <v>0</v>
      </c>
      <c r="E367">
        <v>0</v>
      </c>
      <c r="F367">
        <v>0</v>
      </c>
    </row>
    <row r="368" spans="1:9">
      <c r="A368" s="24">
        <v>2408</v>
      </c>
      <c r="B368">
        <v>77</v>
      </c>
      <c r="C368">
        <v>34413</v>
      </c>
      <c r="D368">
        <v>34.816329178528214</v>
      </c>
      <c r="E368">
        <v>44.204256019402251</v>
      </c>
      <c r="F368">
        <v>66.225477937978354</v>
      </c>
    </row>
    <row r="369" spans="1:9">
      <c r="A369" s="24">
        <v>2409</v>
      </c>
      <c r="B369">
        <v>9</v>
      </c>
      <c r="C369">
        <v>73616</v>
      </c>
      <c r="D369">
        <v>5.6547576278899836</v>
      </c>
      <c r="E369">
        <v>7.2918535241842299</v>
      </c>
      <c r="F369">
        <v>11.182710011398239</v>
      </c>
      <c r="I369">
        <v>1</v>
      </c>
    </row>
    <row r="370" spans="1:9">
      <c r="A370" s="24">
        <v>2412</v>
      </c>
      <c r="B370">
        <v>108</v>
      </c>
      <c r="C370">
        <v>8721</v>
      </c>
      <c r="D370">
        <v>69.855630883537316</v>
      </c>
      <c r="E370">
        <v>92.483872595640463</v>
      </c>
      <c r="F370">
        <v>147.2752709824297</v>
      </c>
      <c r="I370">
        <v>1</v>
      </c>
    </row>
    <row r="371" spans="1:9">
      <c r="A371" s="24">
        <v>2413</v>
      </c>
      <c r="B371">
        <v>19</v>
      </c>
      <c r="C371">
        <v>170</v>
      </c>
      <c r="D371">
        <v>6.4824255227834087</v>
      </c>
      <c r="E371">
        <v>9.2697445406282757</v>
      </c>
      <c r="F371">
        <v>16.277290338103715</v>
      </c>
    </row>
    <row r="372" spans="1:9">
      <c r="A372" s="24">
        <v>2414</v>
      </c>
      <c r="B372">
        <v>21</v>
      </c>
      <c r="C372">
        <v>76</v>
      </c>
      <c r="D372">
        <v>15.739868591283901</v>
      </c>
      <c r="E372">
        <v>20.302834957742334</v>
      </c>
      <c r="F372">
        <v>31.150143208838028</v>
      </c>
      <c r="I372">
        <v>1</v>
      </c>
    </row>
    <row r="373" spans="1:9">
      <c r="A373" s="24">
        <v>2415</v>
      </c>
      <c r="B373">
        <v>22</v>
      </c>
      <c r="C373">
        <v>93</v>
      </c>
      <c r="D373">
        <v>14.985800387213146</v>
      </c>
      <c r="E373">
        <v>19.499791822747554</v>
      </c>
      <c r="F373">
        <v>30.30191900218778</v>
      </c>
      <c r="I373">
        <v>1</v>
      </c>
    </row>
    <row r="374" spans="1:9">
      <c r="A374" s="24">
        <v>2417</v>
      </c>
      <c r="B374">
        <v>12</v>
      </c>
      <c r="C374">
        <v>629</v>
      </c>
      <c r="D374">
        <v>26.970456456808737</v>
      </c>
      <c r="E374">
        <v>38.513278385388773</v>
      </c>
      <c r="F374">
        <v>67.517588178575252</v>
      </c>
      <c r="G374">
        <v>1</v>
      </c>
      <c r="H374">
        <v>1</v>
      </c>
      <c r="I374">
        <v>1</v>
      </c>
    </row>
    <row r="375" spans="1:9">
      <c r="A375" s="24">
        <v>2419</v>
      </c>
      <c r="B375">
        <v>21</v>
      </c>
      <c r="C375">
        <v>4700</v>
      </c>
      <c r="D375">
        <v>18.837255212413268</v>
      </c>
      <c r="E375">
        <v>25.128243047923679</v>
      </c>
      <c r="F375">
        <v>40.432131190193083</v>
      </c>
      <c r="H375">
        <v>1</v>
      </c>
      <c r="I375">
        <v>1</v>
      </c>
    </row>
    <row r="376" spans="1:9">
      <c r="A376" s="24">
        <v>2420</v>
      </c>
      <c r="B376">
        <v>39</v>
      </c>
      <c r="C376">
        <v>1664</v>
      </c>
      <c r="D376">
        <v>30.975819848920999</v>
      </c>
      <c r="E376">
        <v>39.753153273915473</v>
      </c>
      <c r="F376">
        <v>60.534005578205139</v>
      </c>
      <c r="H376">
        <v>1</v>
      </c>
      <c r="I376">
        <v>1</v>
      </c>
    </row>
    <row r="377" spans="1:9">
      <c r="A377" s="24">
        <v>2421</v>
      </c>
      <c r="B377">
        <v>35</v>
      </c>
      <c r="C377">
        <v>2362</v>
      </c>
      <c r="D377">
        <v>25.472175226694247</v>
      </c>
      <c r="E377">
        <v>32.910858413873882</v>
      </c>
      <c r="F377">
        <v>50.617282906809109</v>
      </c>
      <c r="I377">
        <v>1</v>
      </c>
    </row>
    <row r="378" spans="1:9">
      <c r="A378" s="24">
        <v>2423</v>
      </c>
      <c r="B378">
        <v>26</v>
      </c>
      <c r="C378">
        <v>115</v>
      </c>
      <c r="D378">
        <v>21.745860960896522</v>
      </c>
      <c r="E378">
        <v>28.172584330322696</v>
      </c>
      <c r="F378">
        <v>43.502011686441584</v>
      </c>
      <c r="H378">
        <v>1</v>
      </c>
      <c r="I378">
        <v>1</v>
      </c>
    </row>
    <row r="379" spans="1:9">
      <c r="A379" s="24">
        <v>2424</v>
      </c>
      <c r="B379">
        <v>32</v>
      </c>
      <c r="C379">
        <v>0</v>
      </c>
      <c r="D379">
        <v>0</v>
      </c>
      <c r="E379">
        <v>0</v>
      </c>
      <c r="F379">
        <v>0</v>
      </c>
    </row>
    <row r="380" spans="1:9">
      <c r="A380" s="24">
        <v>2425</v>
      </c>
      <c r="B380">
        <v>30</v>
      </c>
      <c r="C380">
        <v>205</v>
      </c>
      <c r="D380">
        <v>14.049268716370634</v>
      </c>
      <c r="E380">
        <v>19.235737828533196</v>
      </c>
      <c r="F380">
        <v>32.03298576196908</v>
      </c>
      <c r="I380">
        <v>1</v>
      </c>
    </row>
    <row r="381" spans="1:9">
      <c r="A381" s="24">
        <v>2426</v>
      </c>
      <c r="B381">
        <v>17</v>
      </c>
      <c r="C381">
        <v>1345</v>
      </c>
      <c r="D381">
        <v>11.916037886972145</v>
      </c>
      <c r="E381">
        <v>15.121277906421764</v>
      </c>
      <c r="F381">
        <v>22.636266068700699</v>
      </c>
      <c r="I381">
        <v>1</v>
      </c>
    </row>
    <row r="382" spans="1:9">
      <c r="A382" s="24">
        <v>2427</v>
      </c>
      <c r="B382">
        <v>10</v>
      </c>
      <c r="C382">
        <v>167</v>
      </c>
      <c r="D382">
        <v>6.5105808312699658</v>
      </c>
      <c r="E382">
        <v>8.489434282053951</v>
      </c>
      <c r="F382">
        <v>13.232069331774236</v>
      </c>
      <c r="I382">
        <v>1</v>
      </c>
    </row>
    <row r="383" spans="1:9">
      <c r="A383" s="24">
        <v>2428</v>
      </c>
      <c r="B383">
        <v>82</v>
      </c>
      <c r="C383">
        <v>144</v>
      </c>
      <c r="D383">
        <v>60.13627910312146</v>
      </c>
      <c r="E383">
        <v>78.854236305620873</v>
      </c>
      <c r="F383">
        <v>123.89099368528854</v>
      </c>
      <c r="I383">
        <v>1</v>
      </c>
    </row>
    <row r="384" spans="1:9">
      <c r="A384" s="24">
        <v>2429</v>
      </c>
      <c r="B384">
        <v>17</v>
      </c>
      <c r="C384">
        <v>14</v>
      </c>
      <c r="D384">
        <v>0</v>
      </c>
      <c r="E384">
        <v>0</v>
      </c>
      <c r="F384">
        <v>0</v>
      </c>
    </row>
    <row r="385" spans="1:9">
      <c r="A385" s="24">
        <v>2430</v>
      </c>
      <c r="B385">
        <v>19</v>
      </c>
      <c r="C385">
        <v>180</v>
      </c>
      <c r="D385">
        <v>9.5349137511563811</v>
      </c>
      <c r="E385">
        <v>12.383079693762248</v>
      </c>
      <c r="F385">
        <v>19.189163419746112</v>
      </c>
      <c r="I385">
        <v>1</v>
      </c>
    </row>
    <row r="386" spans="1:9">
      <c r="A386" s="24">
        <v>2431</v>
      </c>
      <c r="B386">
        <v>11</v>
      </c>
      <c r="C386">
        <v>104</v>
      </c>
      <c r="D386">
        <v>-3.1185484522308777</v>
      </c>
      <c r="E386">
        <v>-3.6883299799558724</v>
      </c>
      <c r="F386">
        <v>-4.902443278067472</v>
      </c>
    </row>
    <row r="387" spans="1:9">
      <c r="A387" s="24">
        <v>2433</v>
      </c>
      <c r="B387">
        <v>47</v>
      </c>
      <c r="C387">
        <v>108</v>
      </c>
      <c r="D387">
        <v>38.734919658323705</v>
      </c>
      <c r="E387">
        <v>49.839732740705188</v>
      </c>
      <c r="F387">
        <v>76.186397976091058</v>
      </c>
      <c r="H387">
        <v>1</v>
      </c>
      <c r="I387">
        <v>1</v>
      </c>
    </row>
    <row r="388" spans="1:9">
      <c r="A388" s="24">
        <v>2434</v>
      </c>
      <c r="B388">
        <v>6</v>
      </c>
      <c r="C388">
        <v>56</v>
      </c>
      <c r="D388">
        <v>0</v>
      </c>
      <c r="E388">
        <v>0</v>
      </c>
      <c r="F388">
        <v>0</v>
      </c>
    </row>
    <row r="389" spans="1:9">
      <c r="A389" s="24">
        <v>2436</v>
      </c>
      <c r="B389">
        <v>27</v>
      </c>
      <c r="C389">
        <v>7324</v>
      </c>
      <c r="D389">
        <v>10.704215001632367</v>
      </c>
      <c r="E389">
        <v>13.857092801183386</v>
      </c>
      <c r="F389">
        <v>21.373160298937833</v>
      </c>
    </row>
    <row r="390" spans="1:9">
      <c r="A390" s="24">
        <v>2438</v>
      </c>
      <c r="B390">
        <v>7</v>
      </c>
      <c r="C390">
        <v>12</v>
      </c>
      <c r="D390">
        <v>17.46319727691672</v>
      </c>
      <c r="E390">
        <v>25.040512632776441</v>
      </c>
      <c r="F390">
        <v>44.109887275077853</v>
      </c>
      <c r="G390">
        <v>1</v>
      </c>
      <c r="H390">
        <v>1</v>
      </c>
      <c r="I390">
        <v>1</v>
      </c>
    </row>
    <row r="391" spans="1:9">
      <c r="A391" s="24">
        <v>2439</v>
      </c>
      <c r="B391">
        <v>163</v>
      </c>
      <c r="C391">
        <v>7492</v>
      </c>
      <c r="D391">
        <v>88.494701055753737</v>
      </c>
      <c r="E391">
        <v>112.34794994389557</v>
      </c>
      <c r="F391">
        <v>168.2965384131092</v>
      </c>
      <c r="I391">
        <v>1</v>
      </c>
    </row>
    <row r="392" spans="1:9">
      <c r="A392" s="24">
        <v>2440</v>
      </c>
      <c r="B392">
        <v>8</v>
      </c>
      <c r="C392">
        <v>6</v>
      </c>
      <c r="D392">
        <v>0</v>
      </c>
      <c r="E392">
        <v>0</v>
      </c>
      <c r="F392">
        <v>0</v>
      </c>
    </row>
    <row r="393" spans="1:9">
      <c r="A393" s="24">
        <v>2441</v>
      </c>
      <c r="B393">
        <v>45</v>
      </c>
      <c r="C393">
        <v>613</v>
      </c>
      <c r="D393">
        <v>32.547286364512857</v>
      </c>
      <c r="E393">
        <v>41.900983469003421</v>
      </c>
      <c r="F393">
        <v>64.102731347724173</v>
      </c>
      <c r="I393">
        <v>1</v>
      </c>
    </row>
    <row r="394" spans="1:9">
      <c r="A394" s="24">
        <v>2442</v>
      </c>
      <c r="B394">
        <v>14</v>
      </c>
      <c r="C394">
        <v>4954</v>
      </c>
      <c r="D394">
        <v>7.7316987518749123</v>
      </c>
      <c r="E394">
        <v>9.8658269095191642</v>
      </c>
      <c r="F394">
        <v>14.894123120496864</v>
      </c>
      <c r="I394">
        <v>1</v>
      </c>
    </row>
    <row r="395" spans="1:9">
      <c r="A395" s="24">
        <v>2443</v>
      </c>
      <c r="B395">
        <v>3</v>
      </c>
      <c r="C395">
        <v>126</v>
      </c>
      <c r="D395">
        <v>0</v>
      </c>
      <c r="E395">
        <v>0</v>
      </c>
      <c r="F395">
        <v>0</v>
      </c>
    </row>
    <row r="396" spans="1:9">
      <c r="A396" s="24">
        <v>2444</v>
      </c>
      <c r="B396">
        <v>19</v>
      </c>
      <c r="C396">
        <v>281</v>
      </c>
      <c r="D396">
        <v>-2.5242854753309598</v>
      </c>
      <c r="E396">
        <v>-2.9854908266601003</v>
      </c>
      <c r="F396">
        <v>-3.968245659805909</v>
      </c>
    </row>
    <row r="397" spans="1:9">
      <c r="A397" s="24">
        <v>2448</v>
      </c>
      <c r="B397">
        <v>25</v>
      </c>
      <c r="C397">
        <v>7785</v>
      </c>
      <c r="D397">
        <v>-6.7514917392627227</v>
      </c>
      <c r="E397">
        <v>-9.6331120849816685</v>
      </c>
      <c r="F397">
        <v>-16.871681447756593</v>
      </c>
    </row>
    <row r="398" spans="1:9">
      <c r="A398" s="24">
        <v>2449</v>
      </c>
      <c r="B398">
        <v>32</v>
      </c>
      <c r="C398">
        <v>7949</v>
      </c>
      <c r="D398">
        <v>17.235565200377863</v>
      </c>
      <c r="E398">
        <v>22.559107985485568</v>
      </c>
      <c r="F398">
        <v>35.351827046150326</v>
      </c>
      <c r="I398">
        <v>1</v>
      </c>
    </row>
    <row r="399" spans="1:9">
      <c r="A399" s="24">
        <v>2450</v>
      </c>
      <c r="B399">
        <v>33</v>
      </c>
      <c r="C399">
        <v>41</v>
      </c>
      <c r="D399">
        <v>16.476091418816143</v>
      </c>
      <c r="E399">
        <v>21.687295032480513</v>
      </c>
      <c r="F399">
        <v>34.25824539484497</v>
      </c>
      <c r="I399">
        <v>1</v>
      </c>
    </row>
    <row r="400" spans="1:9">
      <c r="A400" s="24">
        <v>2451</v>
      </c>
      <c r="B400">
        <v>67</v>
      </c>
      <c r="C400">
        <v>286</v>
      </c>
      <c r="D400">
        <v>53.389274129398459</v>
      </c>
      <c r="E400">
        <v>68.624629654573923</v>
      </c>
      <c r="F400">
        <v>104.74117463543682</v>
      </c>
      <c r="H400">
        <v>1</v>
      </c>
      <c r="I400">
        <v>1</v>
      </c>
    </row>
    <row r="401" spans="1:9">
      <c r="A401" s="24">
        <v>2453</v>
      </c>
      <c r="B401">
        <v>19</v>
      </c>
      <c r="C401">
        <v>1742</v>
      </c>
      <c r="D401">
        <v>6.6003698024160702</v>
      </c>
      <c r="E401">
        <v>8.6454543599055018</v>
      </c>
      <c r="F401">
        <v>13.56242199271545</v>
      </c>
    </row>
    <row r="402" spans="1:9">
      <c r="A402" s="24">
        <v>2454</v>
      </c>
      <c r="B402">
        <v>314</v>
      </c>
      <c r="C402">
        <v>4495</v>
      </c>
      <c r="D402">
        <v>111.11974472438948</v>
      </c>
      <c r="E402">
        <v>145.75574217485175</v>
      </c>
      <c r="F402">
        <v>229.11161388174705</v>
      </c>
    </row>
    <row r="403" spans="1:9">
      <c r="A403" s="24">
        <v>2455</v>
      </c>
      <c r="B403">
        <v>101</v>
      </c>
      <c r="C403">
        <v>4218</v>
      </c>
      <c r="D403">
        <v>37.745261167978072</v>
      </c>
      <c r="E403">
        <v>50.069423619531094</v>
      </c>
      <c r="F403">
        <v>79.947416642292055</v>
      </c>
    </row>
    <row r="404" spans="1:9">
      <c r="A404" s="24">
        <v>2456</v>
      </c>
      <c r="B404">
        <v>85</v>
      </c>
      <c r="C404">
        <v>1932</v>
      </c>
      <c r="D404">
        <v>81.005410290391907</v>
      </c>
      <c r="E404">
        <v>102.34720249585226</v>
      </c>
      <c r="F404">
        <v>152.1824962410775</v>
      </c>
      <c r="H404">
        <v>1</v>
      </c>
      <c r="I404">
        <v>1</v>
      </c>
    </row>
    <row r="405" spans="1:9">
      <c r="A405" s="24">
        <v>2457</v>
      </c>
      <c r="B405">
        <v>9</v>
      </c>
      <c r="C405">
        <v>417</v>
      </c>
      <c r="D405">
        <v>-0.5194504793443413</v>
      </c>
      <c r="E405">
        <v>-0.61435786726277275</v>
      </c>
      <c r="F405">
        <v>-0.8165903303278419</v>
      </c>
    </row>
    <row r="406" spans="1:9">
      <c r="A406" s="24">
        <v>2458</v>
      </c>
      <c r="B406">
        <v>81</v>
      </c>
      <c r="C406">
        <v>1584</v>
      </c>
      <c r="D406">
        <v>57.47529351378175</v>
      </c>
      <c r="E406">
        <v>73.511575231926599</v>
      </c>
      <c r="F406">
        <v>111.37100579832423</v>
      </c>
      <c r="I406">
        <v>1</v>
      </c>
    </row>
    <row r="407" spans="1:9">
      <c r="A407" s="24">
        <v>2459</v>
      </c>
      <c r="B407">
        <v>37</v>
      </c>
      <c r="C407">
        <v>53</v>
      </c>
      <c r="D407">
        <v>38.97057025436613</v>
      </c>
      <c r="E407">
        <v>50.044343294413153</v>
      </c>
      <c r="F407">
        <v>76.275489226700387</v>
      </c>
      <c r="G407">
        <v>1</v>
      </c>
      <c r="H407">
        <v>1</v>
      </c>
      <c r="I407">
        <v>1</v>
      </c>
    </row>
    <row r="408" spans="1:9">
      <c r="A408" s="24">
        <v>2460</v>
      </c>
      <c r="B408">
        <v>10</v>
      </c>
      <c r="C408">
        <v>104</v>
      </c>
      <c r="D408">
        <v>-0.28289066333687479</v>
      </c>
      <c r="E408">
        <v>-0.33457684901082713</v>
      </c>
      <c r="F408">
        <v>-0.4447118433936188</v>
      </c>
    </row>
    <row r="409" spans="1:9">
      <c r="A409" s="24">
        <v>2461</v>
      </c>
      <c r="B409">
        <v>21</v>
      </c>
      <c r="C409">
        <v>7182</v>
      </c>
      <c r="D409">
        <v>5.4052453968998346</v>
      </c>
      <c r="E409">
        <v>7.2780364068583383</v>
      </c>
      <c r="F409">
        <v>11.858571947381716</v>
      </c>
    </row>
    <row r="410" spans="1:9">
      <c r="A410" s="24">
        <v>2462</v>
      </c>
      <c r="B410">
        <v>31</v>
      </c>
      <c r="C410">
        <v>254</v>
      </c>
      <c r="D410">
        <v>9.4441063527562523</v>
      </c>
      <c r="E410">
        <v>12.318616382697719</v>
      </c>
      <c r="F410">
        <v>19.209447751828119</v>
      </c>
    </row>
    <row r="411" spans="1:9">
      <c r="A411" s="24">
        <v>2464</v>
      </c>
      <c r="B411">
        <v>45</v>
      </c>
      <c r="C411">
        <v>381</v>
      </c>
      <c r="D411">
        <v>38.539198382438528</v>
      </c>
      <c r="E411">
        <v>49.433349790052205</v>
      </c>
      <c r="F411">
        <v>75.214571781833172</v>
      </c>
      <c r="H411">
        <v>1</v>
      </c>
      <c r="I411">
        <v>1</v>
      </c>
    </row>
    <row r="412" spans="1:9">
      <c r="A412" s="24">
        <v>2465</v>
      </c>
      <c r="B412">
        <v>14</v>
      </c>
      <c r="C412">
        <v>268</v>
      </c>
      <c r="D412">
        <v>0</v>
      </c>
      <c r="E412">
        <v>0</v>
      </c>
      <c r="F412">
        <v>0</v>
      </c>
    </row>
    <row r="413" spans="1:9">
      <c r="A413" s="24">
        <v>2466</v>
      </c>
      <c r="B413">
        <v>35</v>
      </c>
      <c r="C413">
        <v>88</v>
      </c>
      <c r="D413">
        <v>7.3076322107037015</v>
      </c>
      <c r="E413">
        <v>10.478428078556185</v>
      </c>
      <c r="F413">
        <v>18.458179676406886</v>
      </c>
    </row>
    <row r="414" spans="1:9">
      <c r="A414" s="24">
        <v>2467</v>
      </c>
      <c r="B414">
        <v>29</v>
      </c>
      <c r="C414">
        <v>342</v>
      </c>
      <c r="D414">
        <v>26.163972398951849</v>
      </c>
      <c r="E414">
        <v>34.042413157693012</v>
      </c>
      <c r="F414">
        <v>52.894718597850186</v>
      </c>
      <c r="H414">
        <v>1</v>
      </c>
      <c r="I414">
        <v>1</v>
      </c>
    </row>
    <row r="415" spans="1:9">
      <c r="A415" s="24">
        <v>2468</v>
      </c>
      <c r="B415">
        <v>13</v>
      </c>
      <c r="C415">
        <v>146</v>
      </c>
      <c r="D415">
        <v>6.9032676100051269</v>
      </c>
      <c r="E415">
        <v>9.1170180189934804</v>
      </c>
      <c r="F415">
        <v>14.468906308862586</v>
      </c>
      <c r="I415">
        <v>1</v>
      </c>
    </row>
    <row r="416" spans="1:9">
      <c r="A416" s="24">
        <v>2471</v>
      </c>
      <c r="B416">
        <v>19</v>
      </c>
      <c r="C416">
        <v>490</v>
      </c>
      <c r="D416">
        <v>10.787668707444617</v>
      </c>
      <c r="E416">
        <v>13.597803288589009</v>
      </c>
      <c r="F416">
        <v>20.144970150827803</v>
      </c>
      <c r="I416">
        <v>1</v>
      </c>
    </row>
    <row r="417" spans="1:9">
      <c r="A417" s="24">
        <v>2472</v>
      </c>
      <c r="B417">
        <v>42</v>
      </c>
      <c r="C417">
        <v>759</v>
      </c>
      <c r="D417">
        <v>53.631358099928462</v>
      </c>
      <c r="E417">
        <v>68.835541908325595</v>
      </c>
      <c r="F417">
        <v>104.83541594152692</v>
      </c>
      <c r="G417">
        <v>1</v>
      </c>
      <c r="H417">
        <v>1</v>
      </c>
      <c r="I417">
        <v>1</v>
      </c>
    </row>
    <row r="418" spans="1:9">
      <c r="A418" s="24">
        <v>2474</v>
      </c>
      <c r="B418">
        <v>232</v>
      </c>
      <c r="C418">
        <v>2687</v>
      </c>
      <c r="D418">
        <v>607.30730437878424</v>
      </c>
      <c r="E418">
        <v>790.36257056334853</v>
      </c>
      <c r="F418">
        <v>1228.4696232850768</v>
      </c>
      <c r="G418">
        <v>1</v>
      </c>
      <c r="H418">
        <v>1</v>
      </c>
      <c r="I418">
        <v>1</v>
      </c>
    </row>
    <row r="419" spans="1:9">
      <c r="A419" s="24">
        <v>2476</v>
      </c>
      <c r="B419">
        <v>25</v>
      </c>
      <c r="C419">
        <v>107</v>
      </c>
      <c r="D419">
        <v>25.281762313229329</v>
      </c>
      <c r="E419">
        <v>32.70918736216845</v>
      </c>
      <c r="F419">
        <v>50.407304381489496</v>
      </c>
      <c r="G419">
        <v>1</v>
      </c>
      <c r="H419">
        <v>1</v>
      </c>
      <c r="I419">
        <v>1</v>
      </c>
    </row>
    <row r="420" spans="1:9">
      <c r="A420" s="24">
        <v>2477</v>
      </c>
      <c r="B420">
        <v>23</v>
      </c>
      <c r="C420">
        <v>264</v>
      </c>
      <c r="D420">
        <v>8.422882333837773</v>
      </c>
      <c r="E420">
        <v>11.606802548801213</v>
      </c>
      <c r="F420">
        <v>19.487475112258338</v>
      </c>
    </row>
    <row r="421" spans="1:9">
      <c r="A421" s="24">
        <v>2478</v>
      </c>
      <c r="B421">
        <v>40</v>
      </c>
      <c r="C421">
        <v>1059</v>
      </c>
      <c r="D421">
        <v>33.906277210928323</v>
      </c>
      <c r="E421">
        <v>43.168265818965402</v>
      </c>
      <c r="F421">
        <v>64.948013196129423</v>
      </c>
      <c r="H421">
        <v>1</v>
      </c>
      <c r="I421">
        <v>1</v>
      </c>
    </row>
    <row r="422" spans="1:9">
      <c r="A422" s="24">
        <v>2480</v>
      </c>
      <c r="B422">
        <v>52</v>
      </c>
      <c r="C422">
        <v>388</v>
      </c>
      <c r="D422">
        <v>42.27056304272589</v>
      </c>
      <c r="E422">
        <v>54.264119165805297</v>
      </c>
      <c r="F422">
        <v>82.666328854216729</v>
      </c>
      <c r="H422">
        <v>1</v>
      </c>
      <c r="I422">
        <v>1</v>
      </c>
    </row>
    <row r="423" spans="1:9">
      <c r="A423" s="24">
        <v>2481</v>
      </c>
      <c r="B423">
        <v>27</v>
      </c>
      <c r="C423">
        <v>2317</v>
      </c>
      <c r="D423">
        <v>13.910114114036293</v>
      </c>
      <c r="E423">
        <v>18.357568108570852</v>
      </c>
      <c r="F423">
        <v>29.104547160094512</v>
      </c>
      <c r="I423">
        <v>1</v>
      </c>
    </row>
    <row r="424" spans="1:9">
      <c r="A424" s="24">
        <v>2482</v>
      </c>
      <c r="B424">
        <v>10</v>
      </c>
      <c r="C424">
        <v>23</v>
      </c>
      <c r="D424">
        <v>5.9589281794599103</v>
      </c>
      <c r="E424">
        <v>8.4536491777620224</v>
      </c>
      <c r="F424">
        <v>14.706464572156163</v>
      </c>
      <c r="I424">
        <v>1</v>
      </c>
    </row>
    <row r="425" spans="1:9">
      <c r="A425" s="24">
        <v>2483</v>
      </c>
      <c r="B425">
        <v>20</v>
      </c>
      <c r="C425">
        <v>80</v>
      </c>
      <c r="D425">
        <v>12.574435977095877</v>
      </c>
      <c r="E425">
        <v>16.129860416906354</v>
      </c>
      <c r="F425">
        <v>24.544237396394688</v>
      </c>
      <c r="I425">
        <v>1</v>
      </c>
    </row>
    <row r="426" spans="1:9">
      <c r="A426" s="24">
        <v>2484</v>
      </c>
      <c r="B426">
        <v>22</v>
      </c>
      <c r="C426">
        <v>1754</v>
      </c>
      <c r="D426">
        <v>15.60029107994105</v>
      </c>
      <c r="E426">
        <v>20.38010241120206</v>
      </c>
      <c r="F426">
        <v>31.850975599690571</v>
      </c>
      <c r="I426">
        <v>1</v>
      </c>
    </row>
    <row r="427" spans="1:9">
      <c r="A427" s="24">
        <v>2485</v>
      </c>
      <c r="B427">
        <v>23</v>
      </c>
      <c r="C427">
        <v>12758</v>
      </c>
      <c r="D427">
        <v>12.444963780142487</v>
      </c>
      <c r="E427">
        <v>16.013269722619455</v>
      </c>
      <c r="F427">
        <v>24.479443858922291</v>
      </c>
      <c r="I427">
        <v>1</v>
      </c>
    </row>
    <row r="428" spans="1:9">
      <c r="A428" s="24">
        <v>2486</v>
      </c>
      <c r="B428">
        <v>8</v>
      </c>
      <c r="C428">
        <v>151</v>
      </c>
      <c r="D428">
        <v>-0.47839780408192106</v>
      </c>
      <c r="E428">
        <v>-0.56580456907064081</v>
      </c>
      <c r="F428">
        <v>-0.75205440440917704</v>
      </c>
    </row>
    <row r="429" spans="1:9">
      <c r="A429" s="24">
        <v>2488</v>
      </c>
      <c r="B429">
        <v>38</v>
      </c>
      <c r="C429">
        <v>250</v>
      </c>
      <c r="D429">
        <v>31.453496348678158</v>
      </c>
      <c r="E429">
        <v>40.197239683730984</v>
      </c>
      <c r="F429">
        <v>60.825970852651778</v>
      </c>
      <c r="H429">
        <v>1</v>
      </c>
      <c r="I429">
        <v>1</v>
      </c>
    </row>
    <row r="430" spans="1:9">
      <c r="A430" s="24">
        <v>2489</v>
      </c>
      <c r="B430">
        <v>11</v>
      </c>
      <c r="C430">
        <v>948</v>
      </c>
      <c r="D430">
        <v>6.1155839188991425</v>
      </c>
      <c r="E430">
        <v>8.5046325430749441</v>
      </c>
      <c r="F430">
        <v>14.442781425680682</v>
      </c>
      <c r="I430">
        <v>1</v>
      </c>
    </row>
    <row r="431" spans="1:9">
      <c r="A431" s="24">
        <v>2491</v>
      </c>
      <c r="B431">
        <v>8</v>
      </c>
      <c r="C431">
        <v>81</v>
      </c>
      <c r="D431">
        <v>0</v>
      </c>
      <c r="E431">
        <v>0</v>
      </c>
      <c r="F431">
        <v>0</v>
      </c>
    </row>
    <row r="432" spans="1:9">
      <c r="A432" s="24">
        <v>2492</v>
      </c>
      <c r="B432">
        <v>178</v>
      </c>
      <c r="C432">
        <v>13004</v>
      </c>
      <c r="D432">
        <v>174.59404341496904</v>
      </c>
      <c r="E432">
        <v>218.09548577011915</v>
      </c>
      <c r="F432">
        <v>318.52171472182181</v>
      </c>
      <c r="H432">
        <v>1</v>
      </c>
      <c r="I432">
        <v>1</v>
      </c>
    </row>
    <row r="433" spans="1:9">
      <c r="A433" s="24">
        <v>2493</v>
      </c>
      <c r="B433">
        <v>28</v>
      </c>
      <c r="C433">
        <v>77</v>
      </c>
      <c r="D433">
        <v>28.137572132082358</v>
      </c>
      <c r="E433">
        <v>35.869822771059077</v>
      </c>
      <c r="F433">
        <v>54.072894995034588</v>
      </c>
      <c r="G433">
        <v>1</v>
      </c>
      <c r="H433">
        <v>1</v>
      </c>
      <c r="I433">
        <v>1</v>
      </c>
    </row>
    <row r="434" spans="1:9">
      <c r="A434" s="24">
        <v>2495</v>
      </c>
      <c r="B434">
        <v>13</v>
      </c>
      <c r="C434">
        <v>172</v>
      </c>
      <c r="D434">
        <v>4.3047586131328357</v>
      </c>
      <c r="E434">
        <v>5.5870628210473852</v>
      </c>
      <c r="F434">
        <v>8.6498510697593183</v>
      </c>
    </row>
    <row r="435" spans="1:9">
      <c r="A435" s="24">
        <v>2496</v>
      </c>
      <c r="B435">
        <v>86</v>
      </c>
      <c r="C435">
        <v>72</v>
      </c>
      <c r="D435">
        <v>47.864966524705984</v>
      </c>
      <c r="E435">
        <v>61.534879547582364</v>
      </c>
      <c r="F435">
        <v>93.945117305227981</v>
      </c>
      <c r="I435">
        <v>1</v>
      </c>
    </row>
    <row r="436" spans="1:9">
      <c r="A436" s="24">
        <v>2497</v>
      </c>
      <c r="B436">
        <v>21</v>
      </c>
      <c r="C436">
        <v>42</v>
      </c>
      <c r="D436">
        <v>-18.480663142561333</v>
      </c>
      <c r="E436">
        <v>-21.857214971091345</v>
      </c>
      <c r="F436">
        <v>-29.052106832801464</v>
      </c>
    </row>
    <row r="437" spans="1:9">
      <c r="A437" s="24">
        <v>2498</v>
      </c>
      <c r="B437">
        <v>40</v>
      </c>
      <c r="C437">
        <v>5235</v>
      </c>
      <c r="D437">
        <v>17.780570979481528</v>
      </c>
      <c r="E437">
        <v>24.138613626764922</v>
      </c>
      <c r="F437">
        <v>39.758731289678664</v>
      </c>
    </row>
    <row r="438" spans="1:9">
      <c r="A438" s="24">
        <v>2499</v>
      </c>
      <c r="B438">
        <v>9</v>
      </c>
      <c r="C438">
        <v>778</v>
      </c>
      <c r="D438">
        <v>4.2001347039106403</v>
      </c>
      <c r="E438">
        <v>5.9279172136648741</v>
      </c>
      <c r="F438">
        <v>10.249559753030676</v>
      </c>
      <c r="I438">
        <v>1</v>
      </c>
    </row>
    <row r="439" spans="1:9">
      <c r="A439" s="24">
        <v>2501</v>
      </c>
      <c r="B439">
        <v>22</v>
      </c>
      <c r="C439">
        <v>1821</v>
      </c>
      <c r="D439">
        <v>20.355342840854021</v>
      </c>
      <c r="E439">
        <v>26.08788739317076</v>
      </c>
      <c r="F439">
        <v>39.644828446763583</v>
      </c>
      <c r="H439">
        <v>1</v>
      </c>
      <c r="I439">
        <v>1</v>
      </c>
    </row>
    <row r="440" spans="1:9">
      <c r="A440" s="24">
        <v>2504</v>
      </c>
      <c r="B440">
        <v>9</v>
      </c>
      <c r="C440">
        <v>2089</v>
      </c>
      <c r="D440">
        <v>7.0643499469191688</v>
      </c>
      <c r="E440">
        <v>8.8762686562093052</v>
      </c>
      <c r="F440">
        <v>13.084518945131666</v>
      </c>
      <c r="I440">
        <v>1</v>
      </c>
    </row>
    <row r="441" spans="1:9">
      <c r="A441" s="24">
        <v>2505</v>
      </c>
      <c r="B441">
        <v>12</v>
      </c>
      <c r="C441">
        <v>236</v>
      </c>
      <c r="D441">
        <v>0.30648109375010235</v>
      </c>
      <c r="E441">
        <v>0.36247742296885804</v>
      </c>
      <c r="F441">
        <v>0.48179664383124365</v>
      </c>
    </row>
    <row r="442" spans="1:9">
      <c r="A442" s="24">
        <v>2506</v>
      </c>
      <c r="B442">
        <v>12</v>
      </c>
      <c r="C442">
        <v>26</v>
      </c>
      <c r="D442">
        <v>11.068979736061447</v>
      </c>
      <c r="E442">
        <v>14.402094370050659</v>
      </c>
      <c r="F442">
        <v>22.377916667191084</v>
      </c>
      <c r="H442">
        <v>1</v>
      </c>
      <c r="I442">
        <v>1</v>
      </c>
    </row>
    <row r="443" spans="1:9">
      <c r="A443" s="24">
        <v>2509</v>
      </c>
      <c r="B443">
        <v>30</v>
      </c>
      <c r="C443">
        <v>226</v>
      </c>
      <c r="D443">
        <v>50.34455402377106</v>
      </c>
      <c r="E443">
        <v>61.438987001974475</v>
      </c>
      <c r="F443">
        <v>86.343045113595409</v>
      </c>
      <c r="G443">
        <v>1</v>
      </c>
      <c r="H443">
        <v>1</v>
      </c>
      <c r="I443">
        <v>1</v>
      </c>
    </row>
    <row r="444" spans="1:9">
      <c r="A444" s="24">
        <v>2511</v>
      </c>
      <c r="B444">
        <v>11</v>
      </c>
      <c r="C444">
        <v>654</v>
      </c>
      <c r="D444">
        <v>6.9083154072796251</v>
      </c>
      <c r="E444">
        <v>8.983453600372119</v>
      </c>
      <c r="F444">
        <v>13.946993864114049</v>
      </c>
      <c r="I444">
        <v>1</v>
      </c>
    </row>
    <row r="445" spans="1:9">
      <c r="A445" s="24">
        <v>2514</v>
      </c>
      <c r="B445">
        <v>16</v>
      </c>
      <c r="C445">
        <v>74</v>
      </c>
      <c r="D445">
        <v>3.2434829157043601</v>
      </c>
      <c r="E445">
        <v>4.2532422233063025</v>
      </c>
      <c r="F445">
        <v>6.6828727845765723</v>
      </c>
    </row>
    <row r="446" spans="1:9">
      <c r="A446" s="24">
        <v>2515</v>
      </c>
      <c r="B446">
        <v>8</v>
      </c>
      <c r="C446">
        <v>3093</v>
      </c>
      <c r="D446">
        <v>1.833614605824448</v>
      </c>
      <c r="E446">
        <v>2.4624489978097124</v>
      </c>
      <c r="F446">
        <v>3.9981996705017435</v>
      </c>
    </row>
    <row r="447" spans="1:9">
      <c r="A447" s="24">
        <v>2516</v>
      </c>
      <c r="B447">
        <v>6</v>
      </c>
      <c r="C447">
        <v>79</v>
      </c>
      <c r="D447">
        <v>3.4382677542586491</v>
      </c>
      <c r="E447">
        <v>4.5748054280158943</v>
      </c>
      <c r="F447">
        <v>7.3353504291474678</v>
      </c>
      <c r="I447">
        <v>1</v>
      </c>
    </row>
    <row r="448" spans="1:9">
      <c r="A448" s="24">
        <v>2520</v>
      </c>
      <c r="B448">
        <v>26</v>
      </c>
      <c r="C448">
        <v>2367</v>
      </c>
      <c r="D448">
        <v>18.688142765850333</v>
      </c>
      <c r="E448">
        <v>24.660008793773212</v>
      </c>
      <c r="F448">
        <v>39.089388258429047</v>
      </c>
      <c r="I448">
        <v>1</v>
      </c>
    </row>
    <row r="449" spans="1:9">
      <c r="A449" s="24">
        <v>2524</v>
      </c>
      <c r="B449">
        <v>29</v>
      </c>
      <c r="C449">
        <v>137</v>
      </c>
      <c r="D449">
        <v>7.2361869676076109</v>
      </c>
      <c r="E449">
        <v>9.8365267760674246</v>
      </c>
      <c r="F449">
        <v>16.229267607552636</v>
      </c>
    </row>
    <row r="450" spans="1:9">
      <c r="A450" s="24">
        <v>2527</v>
      </c>
      <c r="B450">
        <v>23</v>
      </c>
      <c r="C450">
        <v>89</v>
      </c>
      <c r="D450">
        <v>30.894327405331584</v>
      </c>
      <c r="E450">
        <v>38.185013263633188</v>
      </c>
      <c r="F450">
        <v>54.817258841083223</v>
      </c>
      <c r="G450">
        <v>1</v>
      </c>
      <c r="H450">
        <v>1</v>
      </c>
      <c r="I450">
        <v>1</v>
      </c>
    </row>
    <row r="451" spans="1:9">
      <c r="A451" s="24">
        <v>2528</v>
      </c>
      <c r="B451">
        <v>16</v>
      </c>
      <c r="C451">
        <v>104</v>
      </c>
      <c r="D451">
        <v>-0.17189518339898033</v>
      </c>
      <c r="E451">
        <v>-0.20330168604144375</v>
      </c>
      <c r="F451">
        <v>-0.27022391965200027</v>
      </c>
    </row>
    <row r="452" spans="1:9">
      <c r="A452" s="24">
        <v>2530</v>
      </c>
      <c r="B452">
        <v>16</v>
      </c>
      <c r="C452">
        <v>51</v>
      </c>
      <c r="D452">
        <v>6.5378632748740824</v>
      </c>
      <c r="E452">
        <v>9.2288031816219682</v>
      </c>
      <c r="F452">
        <v>15.96000222121533</v>
      </c>
    </row>
    <row r="453" spans="1:9">
      <c r="A453" s="24">
        <v>2534</v>
      </c>
      <c r="B453">
        <v>21</v>
      </c>
      <c r="C453">
        <v>805</v>
      </c>
      <c r="D453">
        <v>12.19178997523554</v>
      </c>
      <c r="E453">
        <v>15.965298391305961</v>
      </c>
      <c r="F453">
        <v>25.036301784645609</v>
      </c>
      <c r="I453">
        <v>1</v>
      </c>
    </row>
    <row r="454" spans="1:9">
      <c r="A454" s="24">
        <v>2535</v>
      </c>
      <c r="B454">
        <v>19</v>
      </c>
      <c r="C454">
        <v>1716</v>
      </c>
      <c r="D454">
        <v>14.213447025642338</v>
      </c>
      <c r="E454">
        <v>18.257666153570529</v>
      </c>
      <c r="F454">
        <v>27.839761978831426</v>
      </c>
      <c r="I454">
        <v>1</v>
      </c>
    </row>
    <row r="455" spans="1:9">
      <c r="A455" s="24">
        <v>2536</v>
      </c>
      <c r="B455">
        <v>21</v>
      </c>
      <c r="C455">
        <v>456</v>
      </c>
      <c r="D455">
        <v>8.7493800060899201</v>
      </c>
      <c r="E455">
        <v>11.165756791753441</v>
      </c>
      <c r="F455">
        <v>16.859662462841605</v>
      </c>
    </row>
    <row r="456" spans="1:9">
      <c r="A456" s="24">
        <v>2537</v>
      </c>
      <c r="B456">
        <v>7</v>
      </c>
      <c r="C456">
        <v>521</v>
      </c>
      <c r="D456">
        <v>3.486460978504665</v>
      </c>
      <c r="E456">
        <v>4.9115523777925745</v>
      </c>
      <c r="F456">
        <v>8.473387172674629</v>
      </c>
      <c r="I456">
        <v>1</v>
      </c>
    </row>
    <row r="457" spans="1:9">
      <c r="A457" s="24">
        <v>2538</v>
      </c>
      <c r="B457">
        <v>12</v>
      </c>
      <c r="C457">
        <v>209</v>
      </c>
      <c r="D457">
        <v>4.3847494295117766</v>
      </c>
      <c r="E457">
        <v>5.9850645279371122</v>
      </c>
      <c r="F457">
        <v>9.927670082434549</v>
      </c>
    </row>
    <row r="458" spans="1:9">
      <c r="A458" s="24">
        <v>2539</v>
      </c>
      <c r="B458">
        <v>30</v>
      </c>
      <c r="C458">
        <v>98</v>
      </c>
      <c r="D458">
        <v>14.219111560007509</v>
      </c>
      <c r="E458">
        <v>18.776577028562137</v>
      </c>
      <c r="F458">
        <v>29.793662930736197</v>
      </c>
    </row>
    <row r="459" spans="1:9">
      <c r="A459" s="24">
        <v>2540</v>
      </c>
      <c r="B459">
        <v>24</v>
      </c>
      <c r="C459">
        <v>0</v>
      </c>
      <c r="D459">
        <v>7.5100389548953599</v>
      </c>
      <c r="E459">
        <v>10.768659503794096</v>
      </c>
      <c r="F459">
        <v>18.969434203767175</v>
      </c>
    </row>
    <row r="460" spans="1:9">
      <c r="A460" s="24">
        <v>2542</v>
      </c>
      <c r="B460">
        <v>49</v>
      </c>
      <c r="C460">
        <v>1014</v>
      </c>
      <c r="D460">
        <v>60.601368385878239</v>
      </c>
      <c r="E460">
        <v>75.857913527481131</v>
      </c>
      <c r="F460">
        <v>111.15559764199463</v>
      </c>
      <c r="G460">
        <v>1</v>
      </c>
      <c r="H460">
        <v>1</v>
      </c>
      <c r="I460">
        <v>1</v>
      </c>
    </row>
    <row r="461" spans="1:9">
      <c r="A461" s="24">
        <v>2543</v>
      </c>
      <c r="B461">
        <v>7</v>
      </c>
      <c r="C461">
        <v>39</v>
      </c>
      <c r="D461">
        <v>-2.9848919708365149</v>
      </c>
      <c r="E461">
        <v>-3.5302534854285574</v>
      </c>
      <c r="F461">
        <v>-4.6923316415741514</v>
      </c>
    </row>
    <row r="462" spans="1:9">
      <c r="A462" s="24">
        <v>2545</v>
      </c>
      <c r="B462">
        <v>32</v>
      </c>
      <c r="C462">
        <v>151</v>
      </c>
      <c r="D462">
        <v>34.023628049513398</v>
      </c>
      <c r="E462">
        <v>42.445163652385162</v>
      </c>
      <c r="F462">
        <v>61.859663018326415</v>
      </c>
      <c r="G462">
        <v>1</v>
      </c>
      <c r="H462">
        <v>1</v>
      </c>
      <c r="I462">
        <v>1</v>
      </c>
    </row>
    <row r="463" spans="1:9">
      <c r="A463" s="24">
        <v>2546</v>
      </c>
      <c r="B463">
        <v>36</v>
      </c>
      <c r="C463">
        <v>65</v>
      </c>
      <c r="D463">
        <v>30.160452881013601</v>
      </c>
      <c r="E463">
        <v>38.105555193458052</v>
      </c>
      <c r="F463">
        <v>56.657724494457597</v>
      </c>
      <c r="H463">
        <v>1</v>
      </c>
      <c r="I463">
        <v>1</v>
      </c>
    </row>
    <row r="464" spans="1:9">
      <c r="A464" s="24">
        <v>2547</v>
      </c>
      <c r="B464">
        <v>14</v>
      </c>
      <c r="C464">
        <v>950</v>
      </c>
      <c r="D464">
        <v>-6.5002479870205194</v>
      </c>
      <c r="E464">
        <v>-6.7517614767653074</v>
      </c>
      <c r="F464">
        <v>-6.663848032791492</v>
      </c>
    </row>
    <row r="465" spans="1:9">
      <c r="A465" s="24">
        <v>2548</v>
      </c>
      <c r="B465">
        <v>84</v>
      </c>
      <c r="C465">
        <v>382</v>
      </c>
      <c r="D465">
        <v>43.652328530160005</v>
      </c>
      <c r="E465">
        <v>58.022499585642144</v>
      </c>
      <c r="F465">
        <v>92.904460478917827</v>
      </c>
      <c r="I465">
        <v>1</v>
      </c>
    </row>
    <row r="466" spans="1:9">
      <c r="A466" s="24">
        <v>2596</v>
      </c>
      <c r="B466">
        <v>21</v>
      </c>
      <c r="C466">
        <v>48</v>
      </c>
      <c r="D466">
        <v>22.563342563178992</v>
      </c>
      <c r="E466">
        <v>27.908293497474833</v>
      </c>
      <c r="F466">
        <v>40.112194530064997</v>
      </c>
      <c r="G466">
        <v>1</v>
      </c>
      <c r="H466">
        <v>1</v>
      </c>
      <c r="I466">
        <v>1</v>
      </c>
    </row>
    <row r="467" spans="1:9">
      <c r="A467" s="24">
        <v>2597</v>
      </c>
      <c r="B467">
        <v>55</v>
      </c>
      <c r="C467">
        <v>70</v>
      </c>
      <c r="D467">
        <v>50.496961949652459</v>
      </c>
      <c r="E467">
        <v>64.729158639482534</v>
      </c>
      <c r="F467">
        <v>98.391778236378713</v>
      </c>
      <c r="H467">
        <v>1</v>
      </c>
      <c r="I467">
        <v>1</v>
      </c>
    </row>
    <row r="468" spans="1:9">
      <c r="A468" s="24">
        <v>2601</v>
      </c>
      <c r="B468">
        <v>13</v>
      </c>
      <c r="C468">
        <v>2542</v>
      </c>
      <c r="D468">
        <v>7.6988979678629814</v>
      </c>
      <c r="E468">
        <v>10.08749799072686</v>
      </c>
      <c r="F468">
        <v>15.831610121774579</v>
      </c>
      <c r="I468">
        <v>1</v>
      </c>
    </row>
    <row r="469" spans="1:9">
      <c r="A469" s="24">
        <v>2603</v>
      </c>
      <c r="B469">
        <v>14</v>
      </c>
      <c r="C469">
        <v>12361</v>
      </c>
      <c r="D469">
        <v>6.0526049446592296</v>
      </c>
      <c r="E469">
        <v>8.609398647124987</v>
      </c>
      <c r="F469">
        <v>15.024441149439101</v>
      </c>
      <c r="I469">
        <v>1</v>
      </c>
    </row>
    <row r="470" spans="1:9">
      <c r="A470" s="24">
        <v>2605</v>
      </c>
      <c r="B470">
        <v>17</v>
      </c>
      <c r="C470">
        <v>2196</v>
      </c>
      <c r="D470">
        <v>6.3969320253942854</v>
      </c>
      <c r="E470">
        <v>8.7595489917611022</v>
      </c>
      <c r="F470">
        <v>14.589505328877326</v>
      </c>
    </row>
    <row r="471" spans="1:9">
      <c r="A471" s="24">
        <v>2606</v>
      </c>
      <c r="B471">
        <v>36</v>
      </c>
      <c r="C471">
        <v>4425</v>
      </c>
      <c r="D471">
        <v>13.938624929405087</v>
      </c>
      <c r="E471">
        <v>18.333460587553599</v>
      </c>
      <c r="F471">
        <v>28.92978141505521</v>
      </c>
    </row>
    <row r="472" spans="1:9">
      <c r="A472" s="24">
        <v>2607</v>
      </c>
      <c r="B472">
        <v>14</v>
      </c>
      <c r="C472">
        <v>917</v>
      </c>
      <c r="D472">
        <v>7.0584149450746043</v>
      </c>
      <c r="E472">
        <v>9.4787714932963159</v>
      </c>
      <c r="F472">
        <v>15.38969888955601</v>
      </c>
      <c r="I472">
        <v>1</v>
      </c>
    </row>
    <row r="473" spans="1:9">
      <c r="A473" s="24">
        <v>2608</v>
      </c>
      <c r="B473">
        <v>36</v>
      </c>
      <c r="C473">
        <v>72</v>
      </c>
      <c r="D473">
        <v>22.994435210629923</v>
      </c>
      <c r="E473">
        <v>30.133604660899508</v>
      </c>
      <c r="F473">
        <v>47.303899343678552</v>
      </c>
      <c r="I473">
        <v>1</v>
      </c>
    </row>
    <row r="474" spans="1:9">
      <c r="A474" s="24">
        <v>2609</v>
      </c>
      <c r="B474">
        <v>9</v>
      </c>
      <c r="C474">
        <v>2264</v>
      </c>
      <c r="D474">
        <v>0</v>
      </c>
      <c r="E474">
        <v>0</v>
      </c>
      <c r="F474">
        <v>0</v>
      </c>
    </row>
    <row r="475" spans="1:9">
      <c r="A475" s="24">
        <v>2610</v>
      </c>
      <c r="B475">
        <v>10</v>
      </c>
      <c r="C475">
        <v>8091</v>
      </c>
      <c r="D475">
        <v>4.5118319858119023</v>
      </c>
      <c r="E475">
        <v>6.2195364663178125</v>
      </c>
      <c r="F475">
        <v>10.447063896462845</v>
      </c>
      <c r="I475">
        <v>1</v>
      </c>
    </row>
    <row r="476" spans="1:9">
      <c r="A476" s="24">
        <v>2611</v>
      </c>
      <c r="B476">
        <v>8</v>
      </c>
      <c r="C476">
        <v>52</v>
      </c>
      <c r="D476">
        <v>3.3557560212637103</v>
      </c>
      <c r="E476">
        <v>4.4391819884440977</v>
      </c>
      <c r="F476">
        <v>7.0612066203022934</v>
      </c>
    </row>
    <row r="477" spans="1:9">
      <c r="A477" s="24">
        <v>2612</v>
      </c>
      <c r="B477">
        <v>37</v>
      </c>
      <c r="C477">
        <v>2512</v>
      </c>
      <c r="D477">
        <v>24.679015337859614</v>
      </c>
      <c r="E477">
        <v>31.463151176897064</v>
      </c>
      <c r="F477">
        <v>47.435215180442334</v>
      </c>
      <c r="I477">
        <v>1</v>
      </c>
    </row>
    <row r="478" spans="1:9">
      <c r="A478" s="24">
        <v>2613</v>
      </c>
      <c r="B478">
        <v>13</v>
      </c>
      <c r="C478">
        <v>63</v>
      </c>
      <c r="D478">
        <v>3.9041025451560012</v>
      </c>
      <c r="E478">
        <v>5.2212425402163429</v>
      </c>
      <c r="F478">
        <v>8.4302585642010062</v>
      </c>
    </row>
    <row r="479" spans="1:9">
      <c r="A479" s="24">
        <v>2614</v>
      </c>
      <c r="B479">
        <v>10</v>
      </c>
      <c r="C479">
        <v>641</v>
      </c>
      <c r="D479">
        <v>4.1108064925889769</v>
      </c>
      <c r="E479">
        <v>5.3634884434916472</v>
      </c>
      <c r="F479">
        <v>8.3670310637208214</v>
      </c>
    </row>
    <row r="480" spans="1:9">
      <c r="A480" s="24">
        <v>2615</v>
      </c>
      <c r="B480">
        <v>22</v>
      </c>
      <c r="C480">
        <v>21062</v>
      </c>
      <c r="D480">
        <v>7.6743836160567778</v>
      </c>
      <c r="E480">
        <v>10.142735319692292</v>
      </c>
      <c r="F480">
        <v>16.112917895999889</v>
      </c>
    </row>
    <row r="481" spans="1:9">
      <c r="A481" s="24">
        <v>2616</v>
      </c>
      <c r="B481">
        <v>30</v>
      </c>
      <c r="C481">
        <v>665</v>
      </c>
      <c r="D481">
        <v>19.561125049754381</v>
      </c>
      <c r="E481">
        <v>25.790592861605575</v>
      </c>
      <c r="F481">
        <v>40.834256657449572</v>
      </c>
      <c r="I481">
        <v>1</v>
      </c>
    </row>
    <row r="482" spans="1:9">
      <c r="A482" s="24">
        <v>2617</v>
      </c>
      <c r="B482">
        <v>22</v>
      </c>
      <c r="C482">
        <v>1742</v>
      </c>
      <c r="D482">
        <v>12.734658211502541</v>
      </c>
      <c r="E482">
        <v>16.281123593676799</v>
      </c>
      <c r="F482">
        <v>24.650931409243171</v>
      </c>
      <c r="I482">
        <v>1</v>
      </c>
    </row>
    <row r="483" spans="1:9">
      <c r="A483" s="24">
        <v>2618</v>
      </c>
      <c r="B483">
        <v>15</v>
      </c>
      <c r="C483">
        <v>12361</v>
      </c>
      <c r="D483">
        <v>10.147136009835757</v>
      </c>
      <c r="E483">
        <v>13.43959496173999</v>
      </c>
      <c r="F483">
        <v>21.41393532095384</v>
      </c>
      <c r="I483">
        <v>1</v>
      </c>
    </row>
    <row r="484" spans="1:9">
      <c r="A484" s="24">
        <v>2630</v>
      </c>
      <c r="B484">
        <v>21</v>
      </c>
      <c r="C484">
        <v>27</v>
      </c>
      <c r="D484">
        <v>1.5971355319219067</v>
      </c>
      <c r="E484">
        <v>2.0616082142211165</v>
      </c>
      <c r="F484">
        <v>3.1663909591808128</v>
      </c>
    </row>
    <row r="485" spans="1:9">
      <c r="A485" s="24">
        <v>2633</v>
      </c>
      <c r="B485">
        <v>41</v>
      </c>
      <c r="C485">
        <v>7452</v>
      </c>
      <c r="D485">
        <v>19.984157188092428</v>
      </c>
      <c r="E485">
        <v>26.927154892520832</v>
      </c>
      <c r="F485">
        <v>43.915234457031083</v>
      </c>
      <c r="I485">
        <v>1</v>
      </c>
    </row>
    <row r="486" spans="1:9">
      <c r="A486" s="24">
        <v>2634</v>
      </c>
      <c r="B486">
        <v>32</v>
      </c>
      <c r="C486">
        <v>1583</v>
      </c>
      <c r="D486">
        <v>19.57912288805403</v>
      </c>
      <c r="E486">
        <v>25.870403489681486</v>
      </c>
      <c r="F486">
        <v>41.084781897736349</v>
      </c>
      <c r="I486">
        <v>1</v>
      </c>
    </row>
    <row r="487" spans="1:9">
      <c r="A487" s="24">
        <v>2636</v>
      </c>
      <c r="B487">
        <v>24</v>
      </c>
      <c r="C487">
        <v>204</v>
      </c>
      <c r="D487">
        <v>21.028074296051688</v>
      </c>
      <c r="E487">
        <v>26.877896804656295</v>
      </c>
      <c r="F487">
        <v>40.680983199631811</v>
      </c>
      <c r="H487">
        <v>1</v>
      </c>
      <c r="I487">
        <v>1</v>
      </c>
    </row>
    <row r="488" spans="1:9">
      <c r="A488" s="24">
        <v>2637</v>
      </c>
      <c r="B488">
        <v>33</v>
      </c>
      <c r="C488">
        <v>3881</v>
      </c>
      <c r="D488">
        <v>19.466068035758852</v>
      </c>
      <c r="E488">
        <v>24.9392351589104</v>
      </c>
      <c r="F488">
        <v>37.878908705135409</v>
      </c>
      <c r="I488">
        <v>1</v>
      </c>
    </row>
    <row r="489" spans="1:9">
      <c r="A489" s="24">
        <v>2640</v>
      </c>
      <c r="B489">
        <v>69</v>
      </c>
      <c r="C489">
        <v>22</v>
      </c>
      <c r="D489">
        <v>51.138297216616934</v>
      </c>
      <c r="E489">
        <v>66.215080908131938</v>
      </c>
      <c r="F489">
        <v>102.16213588833693</v>
      </c>
      <c r="I489">
        <v>1</v>
      </c>
    </row>
    <row r="490" spans="1:9">
      <c r="A490" s="24">
        <v>2641</v>
      </c>
      <c r="B490">
        <v>8</v>
      </c>
      <c r="C490">
        <v>483</v>
      </c>
      <c r="D490">
        <v>2.5006564703018115</v>
      </c>
      <c r="E490">
        <v>3.4903375802792573</v>
      </c>
      <c r="F490">
        <v>5.9542497597069817</v>
      </c>
    </row>
    <row r="491" spans="1:9">
      <c r="A491" s="24">
        <v>2642</v>
      </c>
      <c r="B491">
        <v>24</v>
      </c>
      <c r="C491">
        <v>151</v>
      </c>
      <c r="D491">
        <v>8.3004274378947738</v>
      </c>
      <c r="E491">
        <v>11.16153822640026</v>
      </c>
      <c r="F491">
        <v>18.154141127252831</v>
      </c>
    </row>
    <row r="492" spans="1:9">
      <c r="A492" s="24">
        <v>2643</v>
      </c>
      <c r="B492">
        <v>34</v>
      </c>
      <c r="C492">
        <v>28</v>
      </c>
      <c r="D492">
        <v>20.262618769290601</v>
      </c>
      <c r="E492">
        <v>26.379581589751009</v>
      </c>
      <c r="F492">
        <v>41.023127675507908</v>
      </c>
      <c r="I492">
        <v>1</v>
      </c>
    </row>
    <row r="493" spans="1:9">
      <c r="A493" s="24">
        <v>2701</v>
      </c>
      <c r="B493">
        <v>13</v>
      </c>
      <c r="C493">
        <v>27</v>
      </c>
      <c r="D493">
        <v>9.0859952914355819</v>
      </c>
      <c r="E493">
        <v>11.901773105963542</v>
      </c>
      <c r="F493">
        <v>18.671918674806239</v>
      </c>
      <c r="I493">
        <v>1</v>
      </c>
    </row>
    <row r="494" spans="1:9">
      <c r="A494" s="24">
        <v>2702</v>
      </c>
      <c r="B494">
        <v>22</v>
      </c>
      <c r="C494">
        <v>152</v>
      </c>
      <c r="D494">
        <v>25.386979553449748</v>
      </c>
      <c r="E494">
        <v>32.970526747472952</v>
      </c>
      <c r="F494">
        <v>51.092545789456054</v>
      </c>
      <c r="G494">
        <v>1</v>
      </c>
      <c r="H494">
        <v>1</v>
      </c>
      <c r="I494">
        <v>1</v>
      </c>
    </row>
    <row r="495" spans="1:9">
      <c r="A495" s="24">
        <v>2704</v>
      </c>
      <c r="B495">
        <v>22</v>
      </c>
      <c r="C495">
        <v>149</v>
      </c>
      <c r="D495">
        <v>11.081808672811245</v>
      </c>
      <c r="E495">
        <v>14.938911626658012</v>
      </c>
      <c r="F495">
        <v>24.378899705890277</v>
      </c>
      <c r="I495">
        <v>1</v>
      </c>
    </row>
    <row r="496" spans="1:9">
      <c r="A496" s="24">
        <v>2705</v>
      </c>
      <c r="B496">
        <v>7</v>
      </c>
      <c r="C496">
        <v>290</v>
      </c>
      <c r="D496">
        <v>-1.2965640699983134</v>
      </c>
      <c r="E496">
        <v>-1.5334557739154038</v>
      </c>
      <c r="F496">
        <v>-2.0382341037542591</v>
      </c>
    </row>
    <row r="497" spans="1:9">
      <c r="A497" s="24">
        <v>2706</v>
      </c>
      <c r="B497">
        <v>16</v>
      </c>
      <c r="C497">
        <v>163</v>
      </c>
      <c r="D497">
        <v>10.637753742477932</v>
      </c>
      <c r="E497">
        <v>13.899271431904275</v>
      </c>
      <c r="F497">
        <v>21.727324391134943</v>
      </c>
      <c r="I497">
        <v>1</v>
      </c>
    </row>
    <row r="498" spans="1:9">
      <c r="A498" s="24">
        <v>2707</v>
      </c>
      <c r="B498">
        <v>170</v>
      </c>
      <c r="C498">
        <v>222</v>
      </c>
      <c r="D498">
        <v>119.17075820407901</v>
      </c>
      <c r="E498">
        <v>153.33156023854445</v>
      </c>
      <c r="F498">
        <v>234.37791111605239</v>
      </c>
      <c r="I498">
        <v>1</v>
      </c>
    </row>
    <row r="499" spans="1:9">
      <c r="A499" s="24">
        <v>2712</v>
      </c>
      <c r="B499">
        <v>42</v>
      </c>
      <c r="C499">
        <v>1</v>
      </c>
      <c r="D499">
        <v>-1.5335051868661609</v>
      </c>
      <c r="E499">
        <v>-1.813687759473539</v>
      </c>
      <c r="F499">
        <v>-2.4107120060474316</v>
      </c>
    </row>
    <row r="500" spans="1:9">
      <c r="A500" s="24">
        <v>2718</v>
      </c>
      <c r="B500">
        <v>22</v>
      </c>
      <c r="C500">
        <v>4</v>
      </c>
      <c r="D500">
        <v>-1.3350466055252539</v>
      </c>
      <c r="E500">
        <v>-1.5789693491132479</v>
      </c>
      <c r="F500">
        <v>-2.0987296998647134</v>
      </c>
    </row>
    <row r="501" spans="1:9">
      <c r="A501" s="24">
        <v>2719</v>
      </c>
      <c r="B501">
        <v>4</v>
      </c>
      <c r="C501">
        <v>34</v>
      </c>
      <c r="D501">
        <v>-2.6127362336713142</v>
      </c>
      <c r="E501">
        <v>-3.0901021831080611</v>
      </c>
      <c r="F501">
        <v>-4.1072926659075613</v>
      </c>
    </row>
    <row r="502" spans="1:9">
      <c r="A502" s="24">
        <v>2722</v>
      </c>
      <c r="B502">
        <v>24</v>
      </c>
      <c r="C502">
        <v>1</v>
      </c>
      <c r="D502">
        <v>6.4621402624169129</v>
      </c>
      <c r="E502">
        <v>9.007093236265387</v>
      </c>
      <c r="F502">
        <v>15.339149832102029</v>
      </c>
    </row>
    <row r="503" spans="1:9">
      <c r="A503" s="24">
        <v>2723</v>
      </c>
      <c r="B503">
        <v>187</v>
      </c>
      <c r="C503">
        <v>1131</v>
      </c>
      <c r="D503">
        <v>104.5105043756262</v>
      </c>
      <c r="E503">
        <v>141.50569825602409</v>
      </c>
      <c r="F503">
        <v>232.26556987759975</v>
      </c>
      <c r="I503">
        <v>1</v>
      </c>
    </row>
    <row r="504" spans="1:9">
      <c r="A504" s="24">
        <v>2724</v>
      </c>
      <c r="B504">
        <v>4</v>
      </c>
      <c r="C504">
        <v>4</v>
      </c>
      <c r="D504">
        <v>-3.7875644759073276E-2</v>
      </c>
      <c r="E504">
        <v>-5.4309960886588571E-2</v>
      </c>
      <c r="F504">
        <v>-9.5669217629578918E-2</v>
      </c>
    </row>
    <row r="505" spans="1:9">
      <c r="A505" s="24">
        <v>2726</v>
      </c>
      <c r="B505">
        <v>79</v>
      </c>
      <c r="C505">
        <v>38</v>
      </c>
      <c r="D505">
        <v>28.957370673410495</v>
      </c>
      <c r="E505">
        <v>37.692747733901172</v>
      </c>
      <c r="F505">
        <v>58.602000767241456</v>
      </c>
    </row>
    <row r="506" spans="1:9">
      <c r="A506" s="24">
        <v>2727</v>
      </c>
      <c r="B506">
        <v>80</v>
      </c>
      <c r="C506">
        <v>211</v>
      </c>
      <c r="D506">
        <v>81.132076062139717</v>
      </c>
      <c r="E506">
        <v>104.65778243570048</v>
      </c>
      <c r="F506">
        <v>160.58661365067223</v>
      </c>
      <c r="G506">
        <v>1</v>
      </c>
      <c r="H506">
        <v>1</v>
      </c>
      <c r="I506">
        <v>1</v>
      </c>
    </row>
    <row r="507" spans="1:9">
      <c r="A507" s="24">
        <v>2729</v>
      </c>
      <c r="B507">
        <v>307</v>
      </c>
      <c r="C507">
        <v>42</v>
      </c>
      <c r="D507">
        <v>204.51134250314414</v>
      </c>
      <c r="E507">
        <v>266.35223123780384</v>
      </c>
      <c r="F507">
        <v>414.43584394654192</v>
      </c>
      <c r="I507">
        <v>1</v>
      </c>
    </row>
    <row r="508" spans="1:9">
      <c r="A508" s="24">
        <v>2731</v>
      </c>
      <c r="B508">
        <v>84</v>
      </c>
      <c r="C508">
        <v>52</v>
      </c>
      <c r="D508">
        <v>50.659815135676197</v>
      </c>
      <c r="E508">
        <v>66.575644405137894</v>
      </c>
      <c r="F508">
        <v>104.92798125526814</v>
      </c>
      <c r="I508">
        <v>1</v>
      </c>
    </row>
    <row r="509" spans="1:9">
      <c r="A509" s="24">
        <v>2732</v>
      </c>
      <c r="B509">
        <v>172</v>
      </c>
      <c r="C509">
        <v>930</v>
      </c>
      <c r="D509">
        <v>67.372061714678281</v>
      </c>
      <c r="E509">
        <v>87.762121419844149</v>
      </c>
      <c r="F509">
        <v>136.59515442851307</v>
      </c>
    </row>
    <row r="510" spans="1:9">
      <c r="A510" s="24">
        <v>2734</v>
      </c>
      <c r="B510">
        <v>16</v>
      </c>
      <c r="C510">
        <v>215</v>
      </c>
      <c r="D510">
        <v>2.0287575922681444</v>
      </c>
      <c r="E510">
        <v>2.3994263883483562</v>
      </c>
      <c r="F510">
        <v>3.1892623037261005</v>
      </c>
    </row>
    <row r="511" spans="1:9">
      <c r="A511" s="24">
        <v>2736</v>
      </c>
      <c r="B511">
        <v>16</v>
      </c>
      <c r="C511">
        <v>19</v>
      </c>
      <c r="D511">
        <v>-0.34092376915979294</v>
      </c>
      <c r="E511">
        <v>-0.40321302616674143</v>
      </c>
      <c r="F511">
        <v>-0.53594146958186073</v>
      </c>
    </row>
    <row r="512" spans="1:9">
      <c r="A512" s="24">
        <v>2739</v>
      </c>
      <c r="B512">
        <v>28</v>
      </c>
      <c r="C512">
        <v>31</v>
      </c>
      <c r="D512">
        <v>15.134343062163515</v>
      </c>
      <c r="E512">
        <v>20.338101922586564</v>
      </c>
      <c r="F512">
        <v>33.051596658367046</v>
      </c>
      <c r="I512">
        <v>1</v>
      </c>
    </row>
    <row r="513" spans="1:9">
      <c r="A513" s="24">
        <v>2740</v>
      </c>
      <c r="B513">
        <v>14</v>
      </c>
      <c r="C513">
        <v>44</v>
      </c>
      <c r="D513">
        <v>-6.85271515977219</v>
      </c>
      <c r="E513">
        <v>-8.1047561566039334</v>
      </c>
      <c r="F513">
        <v>-10.772655254884294</v>
      </c>
    </row>
    <row r="514" spans="1:9">
      <c r="A514" s="24">
        <v>2745</v>
      </c>
      <c r="B514">
        <v>21</v>
      </c>
      <c r="C514">
        <v>13</v>
      </c>
      <c r="D514">
        <v>4.1690818297806382</v>
      </c>
      <c r="E514">
        <v>5.5523952361021998</v>
      </c>
      <c r="F514">
        <v>8.9142515494460781</v>
      </c>
    </row>
    <row r="515" spans="1:9">
      <c r="A515" s="24">
        <v>2748</v>
      </c>
      <c r="B515">
        <v>61</v>
      </c>
      <c r="C515">
        <v>58</v>
      </c>
      <c r="D515">
        <v>33.712932995903657</v>
      </c>
      <c r="E515">
        <v>44.953092872496967</v>
      </c>
      <c r="F515">
        <v>72.289826737347781</v>
      </c>
      <c r="I515">
        <v>1</v>
      </c>
    </row>
    <row r="516" spans="1:9">
      <c r="A516" s="24">
        <v>2801</v>
      </c>
      <c r="B516">
        <v>22</v>
      </c>
      <c r="C516">
        <v>8884</v>
      </c>
      <c r="D516">
        <v>13.026926134632184</v>
      </c>
      <c r="E516">
        <v>16.85247793156632</v>
      </c>
      <c r="F516">
        <v>25.967374916439645</v>
      </c>
      <c r="I516">
        <v>1</v>
      </c>
    </row>
    <row r="517" spans="1:9">
      <c r="A517" s="24">
        <v>2809</v>
      </c>
      <c r="B517">
        <v>32</v>
      </c>
      <c r="C517">
        <v>604</v>
      </c>
      <c r="D517">
        <v>27.645405781582532</v>
      </c>
      <c r="E517">
        <v>34.087993935966722</v>
      </c>
      <c r="F517">
        <v>48.743479540335507</v>
      </c>
      <c r="H517">
        <v>1</v>
      </c>
      <c r="I517">
        <v>1</v>
      </c>
    </row>
    <row r="518" spans="1:9">
      <c r="A518" s="24">
        <v>2812</v>
      </c>
      <c r="B518">
        <v>13</v>
      </c>
      <c r="C518">
        <v>3176</v>
      </c>
      <c r="D518">
        <v>9.1067500160193298</v>
      </c>
      <c r="E518">
        <v>11.668670046598887</v>
      </c>
      <c r="F518">
        <v>17.726184145746096</v>
      </c>
      <c r="I518">
        <v>1</v>
      </c>
    </row>
    <row r="519" spans="1:9">
      <c r="A519" s="24">
        <v>2816</v>
      </c>
      <c r="B519">
        <v>20</v>
      </c>
      <c r="C519">
        <v>77</v>
      </c>
      <c r="D519">
        <v>5.3039507379961632</v>
      </c>
      <c r="E519">
        <v>7.5944322752550661</v>
      </c>
      <c r="F519">
        <v>13.355687310858025</v>
      </c>
    </row>
    <row r="520" spans="1:9">
      <c r="A520" s="24">
        <v>2820</v>
      </c>
      <c r="B520">
        <v>15</v>
      </c>
      <c r="C520">
        <v>714</v>
      </c>
      <c r="D520">
        <v>9.7937041032742478</v>
      </c>
      <c r="E520">
        <v>12.753263757662261</v>
      </c>
      <c r="F520">
        <v>19.83943394185858</v>
      </c>
      <c r="I520">
        <v>1</v>
      </c>
    </row>
    <row r="521" spans="1:9">
      <c r="A521" s="24">
        <v>2823</v>
      </c>
      <c r="B521">
        <v>26</v>
      </c>
      <c r="C521">
        <v>10844</v>
      </c>
      <c r="D521">
        <v>5.7123948531810393</v>
      </c>
      <c r="E521">
        <v>8.1900626288247942</v>
      </c>
      <c r="F521">
        <v>14.425193369027701</v>
      </c>
    </row>
    <row r="522" spans="1:9">
      <c r="A522" s="24">
        <v>2832</v>
      </c>
      <c r="B522">
        <v>20</v>
      </c>
      <c r="C522">
        <v>45</v>
      </c>
      <c r="D522">
        <v>6.085858084561198</v>
      </c>
      <c r="E522">
        <v>8.7194963479717646</v>
      </c>
      <c r="F522">
        <v>15.34544366480814</v>
      </c>
    </row>
    <row r="523" spans="1:9">
      <c r="A523" s="24">
        <v>2834</v>
      </c>
      <c r="B523">
        <v>13</v>
      </c>
      <c r="C523">
        <v>8986</v>
      </c>
      <c r="D523">
        <v>9.2392820430989673</v>
      </c>
      <c r="E523">
        <v>11.992535205138065</v>
      </c>
      <c r="F523">
        <v>18.569119551722345</v>
      </c>
      <c r="I523">
        <v>1</v>
      </c>
    </row>
    <row r="524" spans="1:9">
      <c r="A524" s="24">
        <v>2836</v>
      </c>
      <c r="B524">
        <v>10</v>
      </c>
      <c r="C524">
        <v>334</v>
      </c>
      <c r="D524">
        <v>3.4229137700997052</v>
      </c>
      <c r="E524">
        <v>4.5691443214463545</v>
      </c>
      <c r="F524">
        <v>7.3586722295651219</v>
      </c>
    </row>
    <row r="525" spans="1:9">
      <c r="A525" s="24">
        <v>2838</v>
      </c>
      <c r="B525">
        <v>12</v>
      </c>
      <c r="C525">
        <v>806</v>
      </c>
      <c r="D525">
        <v>7.7895380616703704</v>
      </c>
      <c r="E525">
        <v>10.07358036599895</v>
      </c>
      <c r="F525">
        <v>15.514181922952149</v>
      </c>
      <c r="I525">
        <v>1</v>
      </c>
    </row>
    <row r="526" spans="1:9">
      <c r="A526" s="24">
        <v>2841</v>
      </c>
      <c r="B526">
        <v>9</v>
      </c>
      <c r="C526">
        <v>2028</v>
      </c>
      <c r="D526">
        <v>2.5257915745601185</v>
      </c>
      <c r="E526">
        <v>3.5638802609588156</v>
      </c>
      <c r="F526">
        <v>6.160140258919049</v>
      </c>
    </row>
    <row r="527" spans="1:9">
      <c r="A527" s="24">
        <v>2845</v>
      </c>
      <c r="B527">
        <v>13</v>
      </c>
      <c r="C527">
        <v>3491</v>
      </c>
      <c r="D527">
        <v>8.5413093557804807</v>
      </c>
      <c r="E527">
        <v>11.022443792223628</v>
      </c>
      <c r="F527">
        <v>16.922827350195021</v>
      </c>
      <c r="I527">
        <v>1</v>
      </c>
    </row>
    <row r="528" spans="1:9">
      <c r="A528" s="24">
        <v>2849</v>
      </c>
      <c r="B528">
        <v>16</v>
      </c>
      <c r="C528">
        <v>220</v>
      </c>
      <c r="D528">
        <v>13.14450198879037</v>
      </c>
      <c r="E528">
        <v>17.089964526975201</v>
      </c>
      <c r="F528">
        <v>26.525966316479682</v>
      </c>
      <c r="H528">
        <v>1</v>
      </c>
      <c r="I528">
        <v>1</v>
      </c>
    </row>
    <row r="529" spans="1:9">
      <c r="A529" s="24">
        <v>2850</v>
      </c>
      <c r="B529">
        <v>38</v>
      </c>
      <c r="C529">
        <v>119</v>
      </c>
      <c r="D529">
        <v>11.322082923171658</v>
      </c>
      <c r="E529">
        <v>16.187872967373195</v>
      </c>
      <c r="F529">
        <v>28.420158445165569</v>
      </c>
    </row>
    <row r="530" spans="1:9">
      <c r="A530" s="24">
        <v>2851</v>
      </c>
      <c r="B530">
        <v>18</v>
      </c>
      <c r="C530">
        <v>76</v>
      </c>
      <c r="D530">
        <v>6.8968329358798153</v>
      </c>
      <c r="E530">
        <v>9.8839964650934498</v>
      </c>
      <c r="F530">
        <v>17.400100275128537</v>
      </c>
    </row>
    <row r="531" spans="1:9">
      <c r="A531" s="24">
        <v>2852</v>
      </c>
      <c r="B531">
        <v>15</v>
      </c>
      <c r="C531">
        <v>389</v>
      </c>
      <c r="D531">
        <v>3.3314093118894501</v>
      </c>
      <c r="E531">
        <v>4.7733110445065767</v>
      </c>
      <c r="F531">
        <v>8.4010474460734734</v>
      </c>
    </row>
    <row r="532" spans="1:9">
      <c r="A532" s="24">
        <v>2855</v>
      </c>
      <c r="B532">
        <v>13</v>
      </c>
      <c r="C532">
        <v>1500</v>
      </c>
      <c r="D532">
        <v>6.6068454637007497</v>
      </c>
      <c r="E532">
        <v>8.4349078838173703</v>
      </c>
      <c r="F532">
        <v>12.744021260724768</v>
      </c>
    </row>
    <row r="533" spans="1:9">
      <c r="A533" s="24">
        <v>2867</v>
      </c>
      <c r="B533">
        <v>11</v>
      </c>
      <c r="C533">
        <v>1793</v>
      </c>
      <c r="D533">
        <v>-7.6288491955507878</v>
      </c>
      <c r="E533">
        <v>-10.938552042396424</v>
      </c>
      <c r="F533">
        <v>-19.26775069174619</v>
      </c>
    </row>
    <row r="534" spans="1:9">
      <c r="A534" s="24">
        <v>2880</v>
      </c>
      <c r="B534">
        <v>22</v>
      </c>
      <c r="C534">
        <v>9916</v>
      </c>
      <c r="D534">
        <v>14.941364821347543</v>
      </c>
      <c r="E534">
        <v>19.167875220528025</v>
      </c>
      <c r="F534">
        <v>29.171255662314728</v>
      </c>
      <c r="I534">
        <v>1</v>
      </c>
    </row>
    <row r="535" spans="1:9">
      <c r="A535" s="24">
        <v>2881</v>
      </c>
      <c r="B535">
        <v>44</v>
      </c>
      <c r="C535">
        <v>5637</v>
      </c>
      <c r="D535">
        <v>82.339421485608142</v>
      </c>
      <c r="E535">
        <v>100.71751286573853</v>
      </c>
      <c r="F535">
        <v>142.10015890620676</v>
      </c>
      <c r="G535">
        <v>1</v>
      </c>
      <c r="H535">
        <v>1</v>
      </c>
      <c r="I535">
        <v>1</v>
      </c>
    </row>
    <row r="536" spans="1:9">
      <c r="A536" s="24">
        <v>2882</v>
      </c>
      <c r="B536">
        <v>41</v>
      </c>
      <c r="C536">
        <v>7163</v>
      </c>
      <c r="D536">
        <v>61.080859690577512</v>
      </c>
      <c r="E536">
        <v>75.516471781800433</v>
      </c>
      <c r="F536">
        <v>108.45941646395131</v>
      </c>
      <c r="G536">
        <v>1</v>
      </c>
      <c r="H536">
        <v>1</v>
      </c>
      <c r="I536">
        <v>1</v>
      </c>
    </row>
    <row r="537" spans="1:9">
      <c r="A537" s="24">
        <v>2883</v>
      </c>
      <c r="B537">
        <v>9</v>
      </c>
      <c r="C537">
        <v>13052</v>
      </c>
      <c r="D537">
        <v>5.6141752211240572</v>
      </c>
      <c r="E537">
        <v>7.4378095056812761</v>
      </c>
      <c r="F537">
        <v>11.855402280379124</v>
      </c>
      <c r="I537">
        <v>1</v>
      </c>
    </row>
    <row r="538" spans="1:9">
      <c r="A538" s="24">
        <v>2884</v>
      </c>
      <c r="B538">
        <v>26</v>
      </c>
      <c r="C538">
        <v>39078</v>
      </c>
      <c r="D538">
        <v>19.294151212029952</v>
      </c>
      <c r="E538">
        <v>24.505879370717864</v>
      </c>
      <c r="F538">
        <v>36.73517436198793</v>
      </c>
      <c r="I538">
        <v>1</v>
      </c>
    </row>
    <row r="539" spans="1:9">
      <c r="A539" s="24">
        <v>2885</v>
      </c>
      <c r="B539">
        <v>17</v>
      </c>
      <c r="C539">
        <v>15868</v>
      </c>
      <c r="D539">
        <v>12.554664618270658</v>
      </c>
      <c r="E539">
        <v>16.227191941445685</v>
      </c>
      <c r="F539">
        <v>24.971542623999909</v>
      </c>
      <c r="I539">
        <v>1</v>
      </c>
    </row>
    <row r="540" spans="1:9">
      <c r="A540" s="24">
        <v>2886</v>
      </c>
      <c r="B540">
        <v>32</v>
      </c>
      <c r="C540">
        <v>10963</v>
      </c>
      <c r="D540">
        <v>27.402318942259832</v>
      </c>
      <c r="E540">
        <v>34.607346150851114</v>
      </c>
      <c r="F540">
        <v>51.425164444266898</v>
      </c>
      <c r="H540">
        <v>1</v>
      </c>
      <c r="I540">
        <v>1</v>
      </c>
    </row>
    <row r="541" spans="1:9">
      <c r="A541" s="24">
        <v>2887</v>
      </c>
      <c r="B541">
        <v>15</v>
      </c>
      <c r="C541">
        <v>10889</v>
      </c>
      <c r="D541">
        <v>9.8833391448983274</v>
      </c>
      <c r="E541">
        <v>12.698149010866416</v>
      </c>
      <c r="F541">
        <v>19.368503613111091</v>
      </c>
      <c r="I541">
        <v>1</v>
      </c>
    </row>
    <row r="542" spans="1:9">
      <c r="A542" s="24">
        <v>2888</v>
      </c>
      <c r="B542">
        <v>9</v>
      </c>
      <c r="C542">
        <v>23667</v>
      </c>
      <c r="D542">
        <v>2.6878408236233464</v>
      </c>
      <c r="E542">
        <v>3.5119547017782424</v>
      </c>
      <c r="F542">
        <v>5.4899421914581747</v>
      </c>
    </row>
    <row r="543" spans="1:9">
      <c r="A543" s="24">
        <v>2889</v>
      </c>
      <c r="B543">
        <v>11</v>
      </c>
      <c r="C543">
        <v>2167</v>
      </c>
      <c r="D543">
        <v>6.4971436635768107</v>
      </c>
      <c r="E543">
        <v>8.5161570848563706</v>
      </c>
      <c r="F543">
        <v>13.372765814960005</v>
      </c>
      <c r="I543">
        <v>1</v>
      </c>
    </row>
    <row r="544" spans="1:9">
      <c r="A544" s="24">
        <v>2890</v>
      </c>
      <c r="B544">
        <v>12</v>
      </c>
      <c r="C544">
        <v>17330</v>
      </c>
      <c r="D544">
        <v>7.7845856140440466</v>
      </c>
      <c r="E544">
        <v>10.019647517522994</v>
      </c>
      <c r="F544">
        <v>15.323841511742028</v>
      </c>
      <c r="I544">
        <v>1</v>
      </c>
    </row>
    <row r="545" spans="1:9">
      <c r="A545" s="24">
        <v>2891</v>
      </c>
      <c r="B545">
        <v>21</v>
      </c>
      <c r="C545">
        <v>13566</v>
      </c>
      <c r="D545">
        <v>21.289718188785539</v>
      </c>
      <c r="E545">
        <v>26.788091764645294</v>
      </c>
      <c r="F545">
        <v>39.576229274987853</v>
      </c>
      <c r="G545">
        <v>1</v>
      </c>
      <c r="H545">
        <v>1</v>
      </c>
      <c r="I545">
        <v>1</v>
      </c>
    </row>
    <row r="546" spans="1:9">
      <c r="A546" s="24">
        <v>2892</v>
      </c>
      <c r="B546">
        <v>23</v>
      </c>
      <c r="C546">
        <v>7859</v>
      </c>
      <c r="D546">
        <v>11.379610887626885</v>
      </c>
      <c r="E546">
        <v>13.458748722355645</v>
      </c>
      <c r="F546">
        <v>17.889058886727106</v>
      </c>
    </row>
    <row r="547" spans="1:9">
      <c r="A547" s="24">
        <v>2897</v>
      </c>
      <c r="B547">
        <v>8</v>
      </c>
      <c r="C547">
        <v>202</v>
      </c>
      <c r="D547">
        <v>7.5321279037788074</v>
      </c>
      <c r="E547">
        <v>10.302001960782789</v>
      </c>
      <c r="F547">
        <v>17.132939633462875</v>
      </c>
      <c r="H547">
        <v>1</v>
      </c>
      <c r="I547">
        <v>1</v>
      </c>
    </row>
    <row r="548" spans="1:9">
      <c r="A548" s="24">
        <v>2901</v>
      </c>
      <c r="B548">
        <v>24</v>
      </c>
      <c r="C548">
        <v>11</v>
      </c>
      <c r="D548">
        <v>11.543238208301657</v>
      </c>
      <c r="E548">
        <v>15.878585345354093</v>
      </c>
      <c r="F548">
        <v>26.600160366975871</v>
      </c>
      <c r="I548">
        <v>1</v>
      </c>
    </row>
    <row r="549" spans="1:9">
      <c r="A549" s="24">
        <v>2903</v>
      </c>
      <c r="B549">
        <v>22</v>
      </c>
      <c r="C549">
        <v>5655</v>
      </c>
      <c r="D549">
        <v>16.079727555758538</v>
      </c>
      <c r="E549">
        <v>20.877279306989561</v>
      </c>
      <c r="F549">
        <v>32.339401482544133</v>
      </c>
      <c r="I549">
        <v>1</v>
      </c>
    </row>
    <row r="550" spans="1:9">
      <c r="A550" s="24">
        <v>2904</v>
      </c>
      <c r="B550">
        <v>24</v>
      </c>
      <c r="C550">
        <v>36</v>
      </c>
      <c r="D550">
        <v>17.63645866011462</v>
      </c>
      <c r="E550">
        <v>22.736229049438144</v>
      </c>
      <c r="F550">
        <v>34.854187966004091</v>
      </c>
      <c r="I550">
        <v>1</v>
      </c>
    </row>
    <row r="551" spans="1:9">
      <c r="A551" s="24">
        <v>2905</v>
      </c>
      <c r="B551">
        <v>18</v>
      </c>
      <c r="C551">
        <v>437</v>
      </c>
      <c r="D551">
        <v>-3.4303571407356941</v>
      </c>
      <c r="E551">
        <v>-4.5834821459515895</v>
      </c>
      <c r="F551">
        <v>-7.391389291270154</v>
      </c>
    </row>
    <row r="552" spans="1:9">
      <c r="A552" s="24">
        <v>2906</v>
      </c>
      <c r="B552">
        <v>11</v>
      </c>
      <c r="C552">
        <v>551</v>
      </c>
      <c r="D552">
        <v>31.545923638219683</v>
      </c>
      <c r="E552">
        <v>42.735836253937592</v>
      </c>
      <c r="F552">
        <v>70.195867575321557</v>
      </c>
      <c r="G552">
        <v>1</v>
      </c>
      <c r="H552">
        <v>1</v>
      </c>
      <c r="I552">
        <v>1</v>
      </c>
    </row>
    <row r="553" spans="1:9">
      <c r="A553" s="24">
        <v>2908</v>
      </c>
      <c r="B553">
        <v>20</v>
      </c>
      <c r="C553">
        <v>183</v>
      </c>
      <c r="D553">
        <v>6.0616774593537324</v>
      </c>
      <c r="E553">
        <v>7.8218324484603992</v>
      </c>
      <c r="F553">
        <v>12.007370394904807</v>
      </c>
    </row>
    <row r="554" spans="1:9">
      <c r="A554" s="24">
        <v>2910</v>
      </c>
      <c r="B554">
        <v>26</v>
      </c>
      <c r="C554">
        <v>4</v>
      </c>
      <c r="D554">
        <v>8.0198055308764236</v>
      </c>
      <c r="E554">
        <v>11.068661489337275</v>
      </c>
      <c r="F554">
        <v>18.620603194102483</v>
      </c>
    </row>
    <row r="555" spans="1:9">
      <c r="A555" s="24">
        <v>2911</v>
      </c>
      <c r="B555">
        <v>8</v>
      </c>
      <c r="C555">
        <v>107</v>
      </c>
      <c r="D555">
        <v>-0.43796314421959559</v>
      </c>
      <c r="E555">
        <v>-0.60234108595475777</v>
      </c>
      <c r="F555">
        <v>-1.0088220261751708</v>
      </c>
    </row>
    <row r="556" spans="1:9">
      <c r="A556" s="24">
        <v>2912</v>
      </c>
      <c r="B556">
        <v>304</v>
      </c>
      <c r="C556">
        <v>1551</v>
      </c>
      <c r="D556">
        <v>112.57492995920688</v>
      </c>
      <c r="E556">
        <v>144.10216039432697</v>
      </c>
      <c r="F556">
        <v>218.5848436190409</v>
      </c>
    </row>
    <row r="557" spans="1:9">
      <c r="A557" s="24">
        <v>2913</v>
      </c>
      <c r="B557">
        <v>16</v>
      </c>
      <c r="C557">
        <v>1224</v>
      </c>
      <c r="D557">
        <v>0.25837317297686335</v>
      </c>
      <c r="E557">
        <v>0.30557983449805898</v>
      </c>
      <c r="F557">
        <v>0.40616967941840809</v>
      </c>
    </row>
    <row r="558" spans="1:9">
      <c r="A558" s="24">
        <v>2915</v>
      </c>
      <c r="B558">
        <v>67</v>
      </c>
      <c r="C558">
        <v>1056</v>
      </c>
      <c r="D558">
        <v>56.175074680004037</v>
      </c>
      <c r="E558">
        <v>69.853196430721724</v>
      </c>
      <c r="F558">
        <v>101.27456999937849</v>
      </c>
      <c r="H558">
        <v>1</v>
      </c>
      <c r="I558">
        <v>1</v>
      </c>
    </row>
    <row r="559" spans="1:9">
      <c r="A559" s="24">
        <v>2916</v>
      </c>
      <c r="B559">
        <v>19</v>
      </c>
      <c r="C559">
        <v>7</v>
      </c>
      <c r="D559">
        <v>16.176231816358129</v>
      </c>
      <c r="E559">
        <v>20.808565060988204</v>
      </c>
      <c r="F559">
        <v>31.796779088996225</v>
      </c>
      <c r="H559">
        <v>1</v>
      </c>
      <c r="I559">
        <v>1</v>
      </c>
    </row>
    <row r="560" spans="1:9">
      <c r="A560" s="24">
        <v>2923</v>
      </c>
      <c r="B560">
        <v>25</v>
      </c>
      <c r="C560">
        <v>17</v>
      </c>
      <c r="D560">
        <v>13.720708654144591</v>
      </c>
      <c r="E560">
        <v>16.768030132053934</v>
      </c>
      <c r="F560">
        <v>23.621546249949951</v>
      </c>
    </row>
    <row r="561" spans="1:9">
      <c r="A561" s="24">
        <v>2924</v>
      </c>
      <c r="B561">
        <v>35</v>
      </c>
      <c r="C561">
        <v>1</v>
      </c>
      <c r="D561">
        <v>-12.488288629765071</v>
      </c>
      <c r="E561">
        <v>-14.769989967144658</v>
      </c>
      <c r="F561">
        <v>-19.631930555307484</v>
      </c>
    </row>
    <row r="562" spans="1:9">
      <c r="A562" s="24">
        <v>2926</v>
      </c>
      <c r="B562">
        <v>126</v>
      </c>
      <c r="C562">
        <v>8</v>
      </c>
      <c r="D562">
        <v>85.455849109493357</v>
      </c>
      <c r="E562">
        <v>112.0891896597729</v>
      </c>
      <c r="F562">
        <v>176.18440338715192</v>
      </c>
      <c r="I562">
        <v>1</v>
      </c>
    </row>
    <row r="563" spans="1:9">
      <c r="A563" s="24">
        <v>2928</v>
      </c>
      <c r="B563">
        <v>36</v>
      </c>
      <c r="C563">
        <v>4</v>
      </c>
      <c r="D563">
        <v>-27.837229378463199</v>
      </c>
      <c r="E563">
        <v>-32.923294041510367</v>
      </c>
      <c r="F563">
        <v>-43.760884314253353</v>
      </c>
    </row>
    <row r="564" spans="1:9">
      <c r="A564" s="24">
        <v>2929</v>
      </c>
      <c r="B564">
        <v>91</v>
      </c>
      <c r="C564">
        <v>535</v>
      </c>
      <c r="D564">
        <v>74.889938559530975</v>
      </c>
      <c r="E564">
        <v>97.145662637156335</v>
      </c>
      <c r="F564">
        <v>150.28206540109883</v>
      </c>
      <c r="H564">
        <v>1</v>
      </c>
      <c r="I564">
        <v>1</v>
      </c>
    </row>
    <row r="565" spans="1:9">
      <c r="A565" s="24">
        <v>2936</v>
      </c>
      <c r="B565">
        <v>25</v>
      </c>
      <c r="C565">
        <v>16</v>
      </c>
      <c r="D565">
        <v>-4.77531497146677</v>
      </c>
      <c r="E565">
        <v>-6.5727875759685359</v>
      </c>
      <c r="F565">
        <v>-11.019337859665235</v>
      </c>
    </row>
    <row r="566" spans="1:9">
      <c r="A566" s="24">
        <v>2937</v>
      </c>
      <c r="B566">
        <v>21</v>
      </c>
      <c r="C566">
        <v>6</v>
      </c>
      <c r="D566">
        <v>10.467014068042893</v>
      </c>
      <c r="E566">
        <v>14.036991880395956</v>
      </c>
      <c r="F566">
        <v>22.748674795298715</v>
      </c>
      <c r="I566">
        <v>1</v>
      </c>
    </row>
    <row r="567" spans="1:9">
      <c r="A567" s="24">
        <v>2939</v>
      </c>
      <c r="B567">
        <v>108</v>
      </c>
      <c r="C567">
        <v>10</v>
      </c>
      <c r="D567">
        <v>67.506164287133828</v>
      </c>
      <c r="E567">
        <v>88.178242102047619</v>
      </c>
      <c r="F567">
        <v>137.78382294366168</v>
      </c>
      <c r="I567">
        <v>1</v>
      </c>
    </row>
    <row r="568" spans="1:9">
      <c r="A568" s="24">
        <v>3002</v>
      </c>
      <c r="B568">
        <v>10</v>
      </c>
      <c r="C568">
        <v>120</v>
      </c>
      <c r="D568">
        <v>1.9158229291501911</v>
      </c>
      <c r="E568">
        <v>2.6210530393383831</v>
      </c>
      <c r="F568">
        <v>4.3604922915598721</v>
      </c>
    </row>
    <row r="569" spans="1:9">
      <c r="A569" s="24">
        <v>3003</v>
      </c>
      <c r="B569">
        <v>42</v>
      </c>
      <c r="C569">
        <v>247</v>
      </c>
      <c r="D569">
        <v>29.292188982496313</v>
      </c>
      <c r="E569">
        <v>38.778780657290731</v>
      </c>
      <c r="F569">
        <v>61.748603935139656</v>
      </c>
      <c r="I569">
        <v>1</v>
      </c>
    </row>
    <row r="570" spans="1:9">
      <c r="A570" s="24">
        <v>3004</v>
      </c>
      <c r="B570">
        <v>90</v>
      </c>
      <c r="C570">
        <v>388</v>
      </c>
      <c r="D570">
        <v>42.251758217581326</v>
      </c>
      <c r="E570">
        <v>56.862251161895713</v>
      </c>
      <c r="F570">
        <v>92.58698444234291</v>
      </c>
      <c r="I570">
        <v>1</v>
      </c>
    </row>
    <row r="571" spans="1:9">
      <c r="A571" s="24">
        <v>3005</v>
      </c>
      <c r="B571">
        <v>48</v>
      </c>
      <c r="C571">
        <v>10129</v>
      </c>
      <c r="D571">
        <v>43.263861781251705</v>
      </c>
      <c r="E571">
        <v>56.189062996360846</v>
      </c>
      <c r="F571">
        <v>87.076377023496377</v>
      </c>
      <c r="H571">
        <v>1</v>
      </c>
      <c r="I571">
        <v>1</v>
      </c>
    </row>
    <row r="572" spans="1:9">
      <c r="A572" s="24">
        <v>3006</v>
      </c>
      <c r="B572">
        <v>34</v>
      </c>
      <c r="C572">
        <v>2642</v>
      </c>
      <c r="D572">
        <v>17.931161366018962</v>
      </c>
      <c r="E572">
        <v>23.154765308952602</v>
      </c>
      <c r="F572">
        <v>35.583235433220722</v>
      </c>
      <c r="I572">
        <v>1</v>
      </c>
    </row>
    <row r="573" spans="1:9">
      <c r="A573" s="24">
        <v>3008</v>
      </c>
      <c r="B573">
        <v>4255</v>
      </c>
      <c r="C573">
        <v>922</v>
      </c>
      <c r="D573">
        <v>1536.4291335242497</v>
      </c>
      <c r="E573">
        <v>2083.5082541274946</v>
      </c>
      <c r="F573">
        <v>3426.7536112647808</v>
      </c>
    </row>
    <row r="574" spans="1:9">
      <c r="A574" s="24">
        <v>3010</v>
      </c>
      <c r="B574">
        <v>54</v>
      </c>
      <c r="C574">
        <v>149</v>
      </c>
      <c r="D574">
        <v>47.792960328605929</v>
      </c>
      <c r="E574">
        <v>61.750056798884145</v>
      </c>
      <c r="F574">
        <v>94.972386633728192</v>
      </c>
      <c r="H574">
        <v>1</v>
      </c>
      <c r="I574">
        <v>1</v>
      </c>
    </row>
    <row r="575" spans="1:9">
      <c r="A575" s="24">
        <v>3011</v>
      </c>
      <c r="B575">
        <v>7</v>
      </c>
      <c r="C575">
        <v>160</v>
      </c>
      <c r="D575">
        <v>0</v>
      </c>
      <c r="E575">
        <v>0</v>
      </c>
      <c r="F575">
        <v>0</v>
      </c>
    </row>
    <row r="576" spans="1:9">
      <c r="A576" s="24">
        <v>3013</v>
      </c>
      <c r="B576">
        <v>15</v>
      </c>
      <c r="C576">
        <v>396</v>
      </c>
      <c r="D576">
        <v>7.7513863395610505</v>
      </c>
      <c r="E576">
        <v>10.451041627455805</v>
      </c>
      <c r="F576">
        <v>17.058863076845512</v>
      </c>
      <c r="I576">
        <v>1</v>
      </c>
    </row>
    <row r="577" spans="1:9">
      <c r="A577" s="24">
        <v>3014</v>
      </c>
      <c r="B577">
        <v>34</v>
      </c>
      <c r="C577">
        <v>206</v>
      </c>
      <c r="D577">
        <v>30.023960565616168</v>
      </c>
      <c r="E577">
        <v>38.210521212418271</v>
      </c>
      <c r="F577">
        <v>57.454729619859954</v>
      </c>
      <c r="H577">
        <v>1</v>
      </c>
      <c r="I577">
        <v>1</v>
      </c>
    </row>
    <row r="578" spans="1:9">
      <c r="A578" s="24">
        <v>3015</v>
      </c>
      <c r="B578">
        <v>20</v>
      </c>
      <c r="C578">
        <v>67</v>
      </c>
      <c r="D578">
        <v>5.4987429767708136</v>
      </c>
      <c r="E578">
        <v>7.1654998913583494</v>
      </c>
      <c r="F578">
        <v>11.158321851741889</v>
      </c>
    </row>
    <row r="579" spans="1:9">
      <c r="A579" s="24">
        <v>3016</v>
      </c>
      <c r="B579">
        <v>50</v>
      </c>
      <c r="C579">
        <v>8129</v>
      </c>
      <c r="D579">
        <v>19.555991070258521</v>
      </c>
      <c r="E579">
        <v>27.043561349812776</v>
      </c>
      <c r="F579">
        <v>45.607080947119606</v>
      </c>
    </row>
    <row r="580" spans="1:9">
      <c r="A580" s="24">
        <v>3017</v>
      </c>
      <c r="B580">
        <v>45</v>
      </c>
      <c r="C580">
        <v>24909</v>
      </c>
      <c r="D580">
        <v>20.047861940534116</v>
      </c>
      <c r="E580">
        <v>26.762472029443447</v>
      </c>
      <c r="F580">
        <v>43.103937095344008</v>
      </c>
      <c r="I580">
        <v>1</v>
      </c>
    </row>
    <row r="581" spans="1:9">
      <c r="A581" s="24">
        <v>3018</v>
      </c>
      <c r="B581">
        <v>25</v>
      </c>
      <c r="C581">
        <v>305</v>
      </c>
      <c r="D581">
        <v>-7.9489354470247413</v>
      </c>
      <c r="E581">
        <v>-9.4012638787196732</v>
      </c>
      <c r="F581">
        <v>-12.495943464396642</v>
      </c>
    </row>
    <row r="582" spans="1:9">
      <c r="A582" s="24">
        <v>3019</v>
      </c>
      <c r="B582">
        <v>85</v>
      </c>
      <c r="C582">
        <v>2953</v>
      </c>
      <c r="D582">
        <v>54.862526487343466</v>
      </c>
      <c r="E582">
        <v>74.759893509020458</v>
      </c>
      <c r="F582">
        <v>123.73788241380359</v>
      </c>
      <c r="G582">
        <v>1</v>
      </c>
      <c r="H582">
        <v>1</v>
      </c>
      <c r="I582">
        <v>1</v>
      </c>
    </row>
    <row r="583" spans="1:9">
      <c r="A583" s="24">
        <v>3021</v>
      </c>
      <c r="B583">
        <v>14</v>
      </c>
      <c r="C583">
        <v>48</v>
      </c>
      <c r="D583">
        <v>11.175168676105557</v>
      </c>
      <c r="E583">
        <v>14.657714364754918</v>
      </c>
      <c r="F583">
        <v>23.038603700205687</v>
      </c>
      <c r="H583">
        <v>1</v>
      </c>
      <c r="I583">
        <v>1</v>
      </c>
    </row>
    <row r="584" spans="1:9">
      <c r="A584" s="24">
        <v>3022</v>
      </c>
      <c r="B584">
        <v>34</v>
      </c>
      <c r="C584">
        <v>559</v>
      </c>
      <c r="D584">
        <v>25.351001161440092</v>
      </c>
      <c r="E584">
        <v>33.273303604986737</v>
      </c>
      <c r="F584">
        <v>52.34728740352115</v>
      </c>
      <c r="I584">
        <v>1</v>
      </c>
    </row>
    <row r="585" spans="1:9">
      <c r="A585" s="24">
        <v>3023</v>
      </c>
      <c r="B585">
        <v>124</v>
      </c>
      <c r="C585">
        <v>1020</v>
      </c>
      <c r="D585">
        <v>65.408211540006263</v>
      </c>
      <c r="E585">
        <v>85.389270867057689</v>
      </c>
      <c r="F585">
        <v>133.31734180576149</v>
      </c>
      <c r="I585">
        <v>1</v>
      </c>
    </row>
    <row r="586" spans="1:9">
      <c r="A586" s="24">
        <v>3024</v>
      </c>
      <c r="B586">
        <v>7</v>
      </c>
      <c r="C586">
        <v>81</v>
      </c>
      <c r="D586">
        <v>2.4543213083091335</v>
      </c>
      <c r="E586">
        <v>3.4228511001067674</v>
      </c>
      <c r="F586">
        <v>5.83323939331994</v>
      </c>
    </row>
    <row r="587" spans="1:9">
      <c r="A587" s="24">
        <v>3025</v>
      </c>
      <c r="B587">
        <v>26</v>
      </c>
      <c r="C587">
        <v>2873</v>
      </c>
      <c r="D587">
        <v>1.6402729648458509</v>
      </c>
      <c r="E587">
        <v>2.3353289855945869</v>
      </c>
      <c r="F587">
        <v>4.0798592800580327</v>
      </c>
    </row>
    <row r="588" spans="1:9">
      <c r="A588" s="24">
        <v>3026</v>
      </c>
      <c r="B588">
        <v>96</v>
      </c>
      <c r="C588">
        <v>553</v>
      </c>
      <c r="D588">
        <v>141.60870521375753</v>
      </c>
      <c r="E588">
        <v>175.62616481933324</v>
      </c>
      <c r="F588">
        <v>253.53954052465457</v>
      </c>
      <c r="G588">
        <v>1</v>
      </c>
      <c r="H588">
        <v>1</v>
      </c>
      <c r="I588">
        <v>1</v>
      </c>
    </row>
    <row r="589" spans="1:9">
      <c r="A589" s="24">
        <v>3027</v>
      </c>
      <c r="B589">
        <v>8</v>
      </c>
      <c r="C589">
        <v>333</v>
      </c>
      <c r="D589">
        <v>-0.14234072724770552</v>
      </c>
      <c r="E589">
        <v>-0.18018725871653501</v>
      </c>
      <c r="F589">
        <v>-0.26872238666642817</v>
      </c>
    </row>
    <row r="590" spans="1:9">
      <c r="A590" s="24">
        <v>3028</v>
      </c>
      <c r="B590">
        <v>22</v>
      </c>
      <c r="C590">
        <v>152</v>
      </c>
      <c r="D590">
        <v>21.379025421874147</v>
      </c>
      <c r="E590">
        <v>27.18443736138564</v>
      </c>
      <c r="F590">
        <v>40.820564892968626</v>
      </c>
      <c r="H590">
        <v>1</v>
      </c>
      <c r="I590">
        <v>1</v>
      </c>
    </row>
    <row r="591" spans="1:9">
      <c r="A591" s="24">
        <v>3029</v>
      </c>
      <c r="B591">
        <v>30</v>
      </c>
      <c r="C591">
        <v>1364</v>
      </c>
      <c r="D591">
        <v>17.641103930669267</v>
      </c>
      <c r="E591">
        <v>22.806736470227495</v>
      </c>
      <c r="F591">
        <v>35.108362872285383</v>
      </c>
      <c r="I591">
        <v>1</v>
      </c>
    </row>
    <row r="592" spans="1:9">
      <c r="A592" s="24">
        <v>3030</v>
      </c>
      <c r="B592">
        <v>48</v>
      </c>
      <c r="C592">
        <v>283</v>
      </c>
      <c r="D592">
        <v>49.008848043855444</v>
      </c>
      <c r="E592">
        <v>62.076233960754742</v>
      </c>
      <c r="F592">
        <v>92.661773795723349</v>
      </c>
      <c r="G592">
        <v>1</v>
      </c>
      <c r="H592">
        <v>1</v>
      </c>
      <c r="I592">
        <v>1</v>
      </c>
    </row>
    <row r="593" spans="1:9">
      <c r="A593" s="24">
        <v>3031</v>
      </c>
      <c r="B593">
        <v>12</v>
      </c>
      <c r="C593">
        <v>118</v>
      </c>
      <c r="D593">
        <v>4.0777191715624275</v>
      </c>
      <c r="E593">
        <v>5.4279822761578771</v>
      </c>
      <c r="F593">
        <v>8.7085127169808398</v>
      </c>
    </row>
    <row r="594" spans="1:9">
      <c r="A594" s="24">
        <v>3032</v>
      </c>
      <c r="B594">
        <v>26</v>
      </c>
      <c r="C594">
        <v>57</v>
      </c>
      <c r="D594">
        <v>39.539162406832027</v>
      </c>
      <c r="E594">
        <v>49.715816440112391</v>
      </c>
      <c r="F594">
        <v>73.368262774326382</v>
      </c>
      <c r="G594">
        <v>1</v>
      </c>
      <c r="H594">
        <v>1</v>
      </c>
      <c r="I594">
        <v>1</v>
      </c>
    </row>
    <row r="595" spans="1:9">
      <c r="A595" s="24">
        <v>3033</v>
      </c>
      <c r="B595">
        <v>20</v>
      </c>
      <c r="C595">
        <v>324</v>
      </c>
      <c r="D595">
        <v>18.164649356340291</v>
      </c>
      <c r="E595">
        <v>22.98543186057266</v>
      </c>
      <c r="F595">
        <v>34.258679431893398</v>
      </c>
      <c r="H595">
        <v>1</v>
      </c>
      <c r="I595">
        <v>1</v>
      </c>
    </row>
    <row r="596" spans="1:9">
      <c r="A596" s="24">
        <v>3034</v>
      </c>
      <c r="B596">
        <v>171</v>
      </c>
      <c r="C596">
        <v>4676</v>
      </c>
      <c r="D596">
        <v>105.57603624408144</v>
      </c>
      <c r="E596">
        <v>136.37445742871091</v>
      </c>
      <c r="F596">
        <v>209.67065151919405</v>
      </c>
      <c r="I596">
        <v>1</v>
      </c>
    </row>
    <row r="597" spans="1:9">
      <c r="A597" s="24">
        <v>3035</v>
      </c>
      <c r="B597">
        <v>63</v>
      </c>
      <c r="C597">
        <v>5989</v>
      </c>
      <c r="D597">
        <v>19.800175486975203</v>
      </c>
      <c r="E597">
        <v>26.691528518400869</v>
      </c>
      <c r="F597">
        <v>43.557546205798197</v>
      </c>
    </row>
    <row r="598" spans="1:9">
      <c r="A598" s="24">
        <v>3036</v>
      </c>
      <c r="B598">
        <v>41</v>
      </c>
      <c r="C598">
        <v>1168</v>
      </c>
      <c r="D598">
        <v>33.567494785685071</v>
      </c>
      <c r="E598">
        <v>42.879593884830271</v>
      </c>
      <c r="F598">
        <v>64.840762606012959</v>
      </c>
      <c r="H598">
        <v>1</v>
      </c>
      <c r="I598">
        <v>1</v>
      </c>
    </row>
    <row r="599" spans="1:9">
      <c r="A599" s="24">
        <v>3037</v>
      </c>
      <c r="B599">
        <v>41</v>
      </c>
      <c r="C599">
        <v>27412</v>
      </c>
      <c r="D599">
        <v>66.66981775404841</v>
      </c>
      <c r="E599">
        <v>80.87726848106891</v>
      </c>
      <c r="F599">
        <v>112.50148514280559</v>
      </c>
      <c r="G599">
        <v>1</v>
      </c>
      <c r="H599">
        <v>1</v>
      </c>
      <c r="I599">
        <v>1</v>
      </c>
    </row>
    <row r="600" spans="1:9">
      <c r="A600" s="24">
        <v>3038</v>
      </c>
      <c r="B600">
        <v>18</v>
      </c>
      <c r="C600">
        <v>1381</v>
      </c>
      <c r="D600">
        <v>5.0398658353875341</v>
      </c>
      <c r="E600">
        <v>6.6655267235615199</v>
      </c>
      <c r="F600">
        <v>10.599264887355984</v>
      </c>
    </row>
    <row r="601" spans="1:9">
      <c r="A601" s="24">
        <v>3040</v>
      </c>
      <c r="B601">
        <v>30</v>
      </c>
      <c r="C601">
        <v>21</v>
      </c>
      <c r="D601">
        <v>25.074548281768369</v>
      </c>
      <c r="E601">
        <v>32.591145469592448</v>
      </c>
      <c r="F601">
        <v>50.563929571290132</v>
      </c>
      <c r="H601">
        <v>1</v>
      </c>
      <c r="I601">
        <v>1</v>
      </c>
    </row>
    <row r="602" spans="1:9">
      <c r="A602" s="24">
        <v>3041</v>
      </c>
      <c r="B602">
        <v>12</v>
      </c>
      <c r="C602">
        <v>12503</v>
      </c>
      <c r="D602">
        <v>-3.2138537451984681</v>
      </c>
      <c r="E602">
        <v>-3.8010482444578666</v>
      </c>
      <c r="F602">
        <v>-5.0522657996765181</v>
      </c>
    </row>
    <row r="603" spans="1:9">
      <c r="A603" s="24">
        <v>3042</v>
      </c>
      <c r="B603">
        <v>38</v>
      </c>
      <c r="C603">
        <v>6626</v>
      </c>
      <c r="D603">
        <v>20.588296958449831</v>
      </c>
      <c r="E603">
        <v>26.799535140264815</v>
      </c>
      <c r="F603">
        <v>41.667139169075838</v>
      </c>
      <c r="I603">
        <v>1</v>
      </c>
    </row>
    <row r="604" spans="1:9">
      <c r="A604" s="24">
        <v>3043</v>
      </c>
      <c r="B604">
        <v>2</v>
      </c>
      <c r="C604">
        <v>146</v>
      </c>
      <c r="D604">
        <v>-8.0624179487150144E-2</v>
      </c>
      <c r="E604">
        <v>-0.11560716820303066</v>
      </c>
      <c r="F604">
        <v>-0.20364675565594578</v>
      </c>
    </row>
    <row r="605" spans="1:9">
      <c r="A605" s="24">
        <v>3044</v>
      </c>
      <c r="B605">
        <v>106</v>
      </c>
      <c r="C605">
        <v>1982</v>
      </c>
      <c r="D605">
        <v>73.193857750709526</v>
      </c>
      <c r="E605">
        <v>94.76614007042042</v>
      </c>
      <c r="F605">
        <v>146.19729564739472</v>
      </c>
      <c r="I605">
        <v>1</v>
      </c>
    </row>
    <row r="606" spans="1:9">
      <c r="A606" s="24">
        <v>3045</v>
      </c>
      <c r="B606">
        <v>109</v>
      </c>
      <c r="C606">
        <v>4374</v>
      </c>
      <c r="D606">
        <v>62.283088924476289</v>
      </c>
      <c r="E606">
        <v>82.058380619493022</v>
      </c>
      <c r="F606">
        <v>129.79137762228822</v>
      </c>
      <c r="I606">
        <v>1</v>
      </c>
    </row>
    <row r="607" spans="1:9">
      <c r="A607" s="24">
        <v>3046</v>
      </c>
      <c r="B607">
        <v>24</v>
      </c>
      <c r="C607">
        <v>59</v>
      </c>
      <c r="D607">
        <v>4.9652781037398706</v>
      </c>
      <c r="E607">
        <v>7.2488523839394858</v>
      </c>
      <c r="F607">
        <v>13.032022337805582</v>
      </c>
    </row>
    <row r="608" spans="1:9">
      <c r="A608" s="24">
        <v>3047</v>
      </c>
      <c r="B608">
        <v>11</v>
      </c>
      <c r="C608">
        <v>3088</v>
      </c>
      <c r="D608">
        <v>7.2932425150785409</v>
      </c>
      <c r="E608">
        <v>9.6687677952679536</v>
      </c>
      <c r="F608">
        <v>15.425698553624972</v>
      </c>
      <c r="I608">
        <v>1</v>
      </c>
    </row>
    <row r="609" spans="1:9">
      <c r="A609" s="24">
        <v>3048</v>
      </c>
      <c r="B609">
        <v>13</v>
      </c>
      <c r="C609">
        <v>203</v>
      </c>
      <c r="D609">
        <v>10.057820482935419</v>
      </c>
      <c r="E609">
        <v>13.05724220577579</v>
      </c>
      <c r="F609">
        <v>20.22275826702645</v>
      </c>
      <c r="H609">
        <v>1</v>
      </c>
      <c r="I609">
        <v>1</v>
      </c>
    </row>
    <row r="610" spans="1:9">
      <c r="A610" s="24">
        <v>3049</v>
      </c>
      <c r="B610">
        <v>15</v>
      </c>
      <c r="C610">
        <v>78504</v>
      </c>
      <c r="D610">
        <v>0.8598795026384205</v>
      </c>
      <c r="E610">
        <v>1.2329828958036326</v>
      </c>
      <c r="F610">
        <v>2.1719498056444948</v>
      </c>
    </row>
    <row r="611" spans="1:9">
      <c r="A611" s="24">
        <v>3050</v>
      </c>
      <c r="B611">
        <v>12</v>
      </c>
      <c r="C611">
        <v>331</v>
      </c>
      <c r="D611">
        <v>3.3489036136290427</v>
      </c>
      <c r="E611">
        <v>4.437326402204044</v>
      </c>
      <c r="F611">
        <v>7.0741627455674072</v>
      </c>
    </row>
    <row r="612" spans="1:9">
      <c r="A612" s="24">
        <v>3051</v>
      </c>
      <c r="B612">
        <v>3</v>
      </c>
      <c r="C612">
        <v>1326</v>
      </c>
      <c r="D612">
        <v>0</v>
      </c>
      <c r="E612">
        <v>0</v>
      </c>
      <c r="F612">
        <v>0</v>
      </c>
    </row>
    <row r="613" spans="1:9">
      <c r="A613" s="24">
        <v>3052</v>
      </c>
      <c r="B613">
        <v>8</v>
      </c>
      <c r="C613">
        <v>153</v>
      </c>
      <c r="D613">
        <v>-8.4576012628825801</v>
      </c>
      <c r="E613">
        <v>-11.249911014497496</v>
      </c>
      <c r="F613">
        <v>-18.030922774912238</v>
      </c>
    </row>
    <row r="614" spans="1:9">
      <c r="A614" s="24">
        <v>3054</v>
      </c>
      <c r="B614">
        <v>25</v>
      </c>
      <c r="C614">
        <v>7</v>
      </c>
      <c r="D614">
        <v>3.5568727821482562</v>
      </c>
      <c r="E614">
        <v>5.0700612689223155</v>
      </c>
      <c r="F614">
        <v>8.8697526579668917</v>
      </c>
    </row>
    <row r="615" spans="1:9">
      <c r="A615" s="24">
        <v>3055</v>
      </c>
      <c r="B615">
        <v>26</v>
      </c>
      <c r="C615">
        <v>25</v>
      </c>
      <c r="D615">
        <v>15.854171541142662</v>
      </c>
      <c r="E615">
        <v>21.155812391648841</v>
      </c>
      <c r="F615">
        <v>34.055462585655583</v>
      </c>
      <c r="I615">
        <v>1</v>
      </c>
    </row>
    <row r="616" spans="1:9">
      <c r="A616" s="24">
        <v>3056</v>
      </c>
      <c r="B616">
        <v>24</v>
      </c>
      <c r="C616">
        <v>908</v>
      </c>
      <c r="D616">
        <v>14.096181736658714</v>
      </c>
      <c r="E616">
        <v>18.245369371603957</v>
      </c>
      <c r="F616">
        <v>28.13536669330264</v>
      </c>
      <c r="I616">
        <v>1</v>
      </c>
    </row>
    <row r="617" spans="1:9">
      <c r="A617" s="24">
        <v>3057</v>
      </c>
      <c r="B617">
        <v>8</v>
      </c>
      <c r="C617">
        <v>212</v>
      </c>
      <c r="D617">
        <v>-0.45609978375972648</v>
      </c>
      <c r="E617">
        <v>-0.53943253794533219</v>
      </c>
      <c r="F617">
        <v>-0.71700130790700289</v>
      </c>
    </row>
    <row r="618" spans="1:9">
      <c r="A618" s="24">
        <v>3058</v>
      </c>
      <c r="B618">
        <v>8</v>
      </c>
      <c r="C618">
        <v>71</v>
      </c>
      <c r="D618">
        <v>-10.359492523147306</v>
      </c>
      <c r="E618">
        <v>-12.252247298873824</v>
      </c>
      <c r="F618">
        <v>-16.285404976781106</v>
      </c>
    </row>
    <row r="619" spans="1:9">
      <c r="A619" s="24">
        <v>3059</v>
      </c>
      <c r="B619">
        <v>25</v>
      </c>
      <c r="C619">
        <v>1245</v>
      </c>
      <c r="D619">
        <v>14.519029224591266</v>
      </c>
      <c r="E619">
        <v>20.059093832113014</v>
      </c>
      <c r="F619">
        <v>33.78824044582133</v>
      </c>
      <c r="G619">
        <v>1</v>
      </c>
      <c r="H619">
        <v>1</v>
      </c>
      <c r="I619">
        <v>1</v>
      </c>
    </row>
    <row r="620" spans="1:9">
      <c r="A620" s="24">
        <v>3060</v>
      </c>
      <c r="B620">
        <v>15</v>
      </c>
      <c r="C620">
        <v>762</v>
      </c>
      <c r="D620">
        <v>-11.606082660264967</v>
      </c>
      <c r="E620">
        <v>-13.726598538200976</v>
      </c>
      <c r="F620">
        <v>-18.245078694162626</v>
      </c>
    </row>
    <row r="621" spans="1:9">
      <c r="A621" s="24">
        <v>3062</v>
      </c>
      <c r="B621">
        <v>16</v>
      </c>
      <c r="C621">
        <v>996</v>
      </c>
      <c r="D621">
        <v>7.8620130380509643</v>
      </c>
      <c r="E621">
        <v>10.58694003266997</v>
      </c>
      <c r="F621">
        <v>17.251983097530495</v>
      </c>
      <c r="I621">
        <v>1</v>
      </c>
    </row>
    <row r="622" spans="1:9">
      <c r="A622" s="24">
        <v>3064</v>
      </c>
      <c r="B622">
        <v>22</v>
      </c>
      <c r="C622">
        <v>118</v>
      </c>
      <c r="D622">
        <v>-263.61606567501497</v>
      </c>
      <c r="E622">
        <v>-377.99959068569342</v>
      </c>
      <c r="F622">
        <v>-665.86174091927046</v>
      </c>
    </row>
    <row r="623" spans="1:9">
      <c r="A623" s="24">
        <v>3066</v>
      </c>
      <c r="B623">
        <v>7</v>
      </c>
      <c r="C623">
        <v>11</v>
      </c>
      <c r="D623">
        <v>0.53025902662702595</v>
      </c>
      <c r="E623">
        <v>0.7603394524122401</v>
      </c>
      <c r="F623">
        <v>1.3393690468141048</v>
      </c>
    </row>
    <row r="624" spans="1:9">
      <c r="A624" s="24">
        <v>3067</v>
      </c>
      <c r="B624">
        <v>11</v>
      </c>
      <c r="C624">
        <v>4</v>
      </c>
      <c r="D624">
        <v>0</v>
      </c>
      <c r="E624">
        <v>0</v>
      </c>
      <c r="F624">
        <v>0</v>
      </c>
    </row>
    <row r="625" spans="1:9">
      <c r="A625" s="24">
        <v>3071</v>
      </c>
      <c r="B625">
        <v>18</v>
      </c>
      <c r="C625">
        <v>196</v>
      </c>
      <c r="D625">
        <v>8.5663144081932483</v>
      </c>
      <c r="E625">
        <v>11.518924115833061</v>
      </c>
      <c r="F625">
        <v>18.735098636348798</v>
      </c>
      <c r="I625">
        <v>1</v>
      </c>
    </row>
    <row r="626" spans="1:9">
      <c r="A626" s="24">
        <v>3073</v>
      </c>
      <c r="B626">
        <v>6</v>
      </c>
      <c r="C626">
        <v>10</v>
      </c>
      <c r="D626">
        <v>0</v>
      </c>
      <c r="E626">
        <v>0</v>
      </c>
      <c r="F626">
        <v>0</v>
      </c>
    </row>
    <row r="627" spans="1:9">
      <c r="A627" s="24">
        <v>3078</v>
      </c>
      <c r="B627">
        <v>26</v>
      </c>
      <c r="C627">
        <v>1449</v>
      </c>
      <c r="D627">
        <v>23.70833555627749</v>
      </c>
      <c r="E627">
        <v>30.400268259875503</v>
      </c>
      <c r="F627">
        <v>46.232605268910234</v>
      </c>
      <c r="H627">
        <v>1</v>
      </c>
      <c r="I627">
        <v>1</v>
      </c>
    </row>
    <row r="628" spans="1:9">
      <c r="A628" s="24">
        <v>3081</v>
      </c>
      <c r="B628">
        <v>253</v>
      </c>
      <c r="C628">
        <v>477</v>
      </c>
      <c r="D628">
        <v>134.65295286970513</v>
      </c>
      <c r="E628">
        <v>183.13204599411762</v>
      </c>
      <c r="F628">
        <v>302.34518885677153</v>
      </c>
      <c r="I628">
        <v>1</v>
      </c>
    </row>
    <row r="629" spans="1:9">
      <c r="A629" s="24">
        <v>3083</v>
      </c>
      <c r="B629">
        <v>54</v>
      </c>
      <c r="C629">
        <v>780</v>
      </c>
      <c r="D629">
        <v>10.745928298867446</v>
      </c>
      <c r="E629">
        <v>15.408607544872742</v>
      </c>
      <c r="F629">
        <v>27.142892473399424</v>
      </c>
    </row>
    <row r="630" spans="1:9">
      <c r="A630" s="24">
        <v>3085</v>
      </c>
      <c r="B630">
        <v>3</v>
      </c>
      <c r="C630">
        <v>1</v>
      </c>
      <c r="D630">
        <v>0</v>
      </c>
      <c r="E630">
        <v>0</v>
      </c>
      <c r="F630">
        <v>0</v>
      </c>
    </row>
    <row r="631" spans="1:9">
      <c r="A631" s="24">
        <v>3086</v>
      </c>
      <c r="B631">
        <v>8</v>
      </c>
      <c r="C631">
        <v>16</v>
      </c>
      <c r="D631">
        <v>0</v>
      </c>
      <c r="E631">
        <v>0</v>
      </c>
      <c r="F631">
        <v>0</v>
      </c>
    </row>
    <row r="632" spans="1:9">
      <c r="A632" s="24">
        <v>3088</v>
      </c>
      <c r="B632">
        <v>55</v>
      </c>
      <c r="C632">
        <v>30</v>
      </c>
      <c r="D632">
        <v>52.268887241235348</v>
      </c>
      <c r="E632">
        <v>67.424219663034364</v>
      </c>
      <c r="F632">
        <v>103.45333638725583</v>
      </c>
      <c r="H632">
        <v>1</v>
      </c>
      <c r="I632">
        <v>1</v>
      </c>
    </row>
    <row r="633" spans="1:9">
      <c r="A633" s="24">
        <v>3089</v>
      </c>
      <c r="B633">
        <v>18</v>
      </c>
      <c r="C633">
        <v>29</v>
      </c>
      <c r="D633">
        <v>3.0244403740948891</v>
      </c>
      <c r="E633">
        <v>4.3367509507957402</v>
      </c>
      <c r="F633">
        <v>7.63936419293971</v>
      </c>
    </row>
    <row r="634" spans="1:9">
      <c r="A634" s="24">
        <v>3090</v>
      </c>
      <c r="B634">
        <v>50</v>
      </c>
      <c r="C634">
        <v>744</v>
      </c>
      <c r="D634">
        <v>69.754979218065614</v>
      </c>
      <c r="E634">
        <v>87.361457909317522</v>
      </c>
      <c r="F634">
        <v>128.11797063656601</v>
      </c>
      <c r="G634">
        <v>1</v>
      </c>
      <c r="H634">
        <v>1</v>
      </c>
      <c r="I634">
        <v>1</v>
      </c>
    </row>
    <row r="635" spans="1:9">
      <c r="A635" s="24">
        <v>3092</v>
      </c>
      <c r="B635">
        <v>48</v>
      </c>
      <c r="C635">
        <v>637</v>
      </c>
      <c r="D635">
        <v>44.256949328884701</v>
      </c>
      <c r="E635">
        <v>56.673016328820566</v>
      </c>
      <c r="F635">
        <v>86.015236405607894</v>
      </c>
      <c r="H635">
        <v>1</v>
      </c>
      <c r="I635">
        <v>1</v>
      </c>
    </row>
    <row r="636" spans="1:9">
      <c r="A636" s="24">
        <v>3093</v>
      </c>
      <c r="B636">
        <v>31</v>
      </c>
      <c r="C636">
        <v>100</v>
      </c>
      <c r="D636">
        <v>15.006573293799976</v>
      </c>
      <c r="E636">
        <v>19.294963126136551</v>
      </c>
      <c r="F636">
        <v>29.463496303811922</v>
      </c>
    </row>
    <row r="637" spans="1:9">
      <c r="A637" s="24">
        <v>3094</v>
      </c>
      <c r="B637">
        <v>17</v>
      </c>
      <c r="C637">
        <v>48</v>
      </c>
      <c r="D637">
        <v>9.2060415981818178</v>
      </c>
      <c r="E637">
        <v>12.200610116654129</v>
      </c>
      <c r="F637">
        <v>19.45626183423197</v>
      </c>
      <c r="I637">
        <v>1</v>
      </c>
    </row>
    <row r="638" spans="1:9">
      <c r="A638" s="24">
        <v>3095</v>
      </c>
      <c r="B638">
        <v>3</v>
      </c>
      <c r="C638">
        <v>16</v>
      </c>
      <c r="D638">
        <v>0.28923219634201414</v>
      </c>
      <c r="E638">
        <v>0.41473061040667641</v>
      </c>
      <c r="F638">
        <v>0.73056493462587535</v>
      </c>
    </row>
    <row r="639" spans="1:9">
      <c r="A639" s="24">
        <v>3105</v>
      </c>
      <c r="B639">
        <v>275</v>
      </c>
      <c r="C639">
        <v>11080</v>
      </c>
      <c r="D639">
        <v>56.969422178636712</v>
      </c>
      <c r="E639">
        <v>75.932966132217317</v>
      </c>
      <c r="F639">
        <v>122.04228340997382</v>
      </c>
    </row>
    <row r="640" spans="1:9">
      <c r="A640" s="24">
        <v>3114</v>
      </c>
      <c r="B640">
        <v>37</v>
      </c>
      <c r="C640">
        <v>319</v>
      </c>
      <c r="D640">
        <v>23.80897502238345</v>
      </c>
      <c r="E640">
        <v>30.4456180038515</v>
      </c>
      <c r="F640">
        <v>46.111041973170259</v>
      </c>
      <c r="I640">
        <v>1</v>
      </c>
    </row>
    <row r="641" spans="1:9">
      <c r="A641" s="24">
        <v>3115</v>
      </c>
      <c r="B641">
        <v>18</v>
      </c>
      <c r="C641">
        <v>4</v>
      </c>
      <c r="D641">
        <v>0</v>
      </c>
      <c r="E641">
        <v>0</v>
      </c>
      <c r="F641">
        <v>0</v>
      </c>
    </row>
    <row r="642" spans="1:9">
      <c r="A642" s="24">
        <v>3118</v>
      </c>
      <c r="B642">
        <v>27</v>
      </c>
      <c r="C642">
        <v>15</v>
      </c>
      <c r="D642">
        <v>17.530913339875394</v>
      </c>
      <c r="E642">
        <v>23.151240305911745</v>
      </c>
      <c r="F642">
        <v>36.738178620052452</v>
      </c>
      <c r="I642">
        <v>1</v>
      </c>
    </row>
    <row r="643" spans="1:9">
      <c r="A643" s="24">
        <v>3122</v>
      </c>
      <c r="B643">
        <v>14</v>
      </c>
      <c r="C643">
        <v>8</v>
      </c>
      <c r="D643">
        <v>-1.0858067386561596</v>
      </c>
      <c r="E643">
        <v>-1.2841915423051231</v>
      </c>
      <c r="F643">
        <v>-1.7069178269131364</v>
      </c>
    </row>
    <row r="644" spans="1:9">
      <c r="A644" s="24">
        <v>3128</v>
      </c>
      <c r="B644">
        <v>14</v>
      </c>
      <c r="C644">
        <v>129</v>
      </c>
      <c r="D644">
        <v>4.7701575471846702</v>
      </c>
      <c r="E644">
        <v>6.3520906922474492</v>
      </c>
      <c r="F644">
        <v>10.196350571827463</v>
      </c>
    </row>
    <row r="645" spans="1:9">
      <c r="A645" s="24">
        <v>3130</v>
      </c>
      <c r="B645">
        <v>170</v>
      </c>
      <c r="C645">
        <v>0</v>
      </c>
      <c r="D645">
        <v>115.32559240019552</v>
      </c>
      <c r="E645">
        <v>151.15675655675335</v>
      </c>
      <c r="F645">
        <v>237.34371413291498</v>
      </c>
      <c r="I645">
        <v>1</v>
      </c>
    </row>
    <row r="646" spans="1:9">
      <c r="A646" s="24">
        <v>3131</v>
      </c>
      <c r="B646">
        <v>134</v>
      </c>
      <c r="C646">
        <v>24</v>
      </c>
      <c r="D646">
        <v>74.225363234189501</v>
      </c>
      <c r="E646">
        <v>96.124101007300482</v>
      </c>
      <c r="F646">
        <v>148.34284049501889</v>
      </c>
      <c r="I646">
        <v>1</v>
      </c>
    </row>
    <row r="647" spans="1:9">
      <c r="A647" s="24">
        <v>3141</v>
      </c>
      <c r="B647">
        <v>34</v>
      </c>
      <c r="C647">
        <v>332</v>
      </c>
      <c r="D647">
        <v>16.865582991621061</v>
      </c>
      <c r="E647">
        <v>22.294050184833463</v>
      </c>
      <c r="F647">
        <v>35.425317812282991</v>
      </c>
      <c r="I647">
        <v>1</v>
      </c>
    </row>
    <row r="648" spans="1:9">
      <c r="A648" s="24">
        <v>3144</v>
      </c>
      <c r="B648">
        <v>32</v>
      </c>
      <c r="C648">
        <v>3209</v>
      </c>
      <c r="D648">
        <v>14.561840264917077</v>
      </c>
      <c r="E648">
        <v>19.146369138305971</v>
      </c>
      <c r="F648">
        <v>30.197428102778936</v>
      </c>
    </row>
    <row r="649" spans="1:9">
      <c r="A649" s="24">
        <v>3147</v>
      </c>
      <c r="B649">
        <v>44</v>
      </c>
      <c r="C649">
        <v>583</v>
      </c>
      <c r="D649">
        <v>21.129992766484861</v>
      </c>
      <c r="E649">
        <v>27.319098945983562</v>
      </c>
      <c r="F649">
        <v>42.058838114339167</v>
      </c>
    </row>
    <row r="650" spans="1:9">
      <c r="A650" s="24">
        <v>3149</v>
      </c>
      <c r="B650">
        <v>12</v>
      </c>
      <c r="C650">
        <v>303</v>
      </c>
      <c r="D650">
        <v>0</v>
      </c>
      <c r="E650">
        <v>0</v>
      </c>
      <c r="F650">
        <v>0</v>
      </c>
    </row>
    <row r="651" spans="1:9">
      <c r="A651" s="24">
        <v>3152</v>
      </c>
      <c r="B651">
        <v>246</v>
      </c>
      <c r="C651">
        <v>248</v>
      </c>
      <c r="D651">
        <v>138.4960480711988</v>
      </c>
      <c r="E651">
        <v>181.78204736733298</v>
      </c>
      <c r="F651">
        <v>286.00086438856169</v>
      </c>
      <c r="I651">
        <v>1</v>
      </c>
    </row>
    <row r="652" spans="1:9">
      <c r="A652" s="24">
        <v>3162</v>
      </c>
      <c r="B652">
        <v>16</v>
      </c>
      <c r="C652">
        <v>47</v>
      </c>
      <c r="D652">
        <v>0</v>
      </c>
      <c r="E652">
        <v>0</v>
      </c>
      <c r="F652">
        <v>0</v>
      </c>
    </row>
    <row r="653" spans="1:9">
      <c r="A653" s="24">
        <v>3163</v>
      </c>
      <c r="B653">
        <v>50</v>
      </c>
      <c r="C653">
        <v>2069</v>
      </c>
      <c r="D653">
        <v>8.0685402471127503</v>
      </c>
      <c r="E653">
        <v>11.057851299091759</v>
      </c>
      <c r="F653">
        <v>18.437296980709725</v>
      </c>
    </row>
    <row r="654" spans="1:9">
      <c r="A654" s="24">
        <v>3164</v>
      </c>
      <c r="B654">
        <v>27</v>
      </c>
      <c r="C654">
        <v>81</v>
      </c>
      <c r="D654">
        <v>6.1305539306256458</v>
      </c>
      <c r="E654">
        <v>8.474101286262874</v>
      </c>
      <c r="F654">
        <v>14.283148890637467</v>
      </c>
    </row>
    <row r="655" spans="1:9">
      <c r="A655" s="24">
        <v>3167</v>
      </c>
      <c r="B655">
        <v>35</v>
      </c>
      <c r="C655">
        <v>140</v>
      </c>
      <c r="D655">
        <v>42.987413794789411</v>
      </c>
      <c r="E655">
        <v>54.810650033570724</v>
      </c>
      <c r="F655">
        <v>82.64914928991351</v>
      </c>
      <c r="G655">
        <v>1</v>
      </c>
      <c r="H655">
        <v>1</v>
      </c>
      <c r="I655">
        <v>1</v>
      </c>
    </row>
    <row r="656" spans="1:9">
      <c r="A656" s="24">
        <v>3169</v>
      </c>
      <c r="B656">
        <v>46</v>
      </c>
      <c r="C656">
        <v>471</v>
      </c>
      <c r="D656">
        <v>27.718154360178517</v>
      </c>
      <c r="E656">
        <v>35.868222318738425</v>
      </c>
      <c r="F656">
        <v>55.291102892207419</v>
      </c>
      <c r="I656">
        <v>1</v>
      </c>
    </row>
    <row r="657" spans="1:9">
      <c r="A657" s="24">
        <v>3171</v>
      </c>
      <c r="B657">
        <v>14</v>
      </c>
      <c r="C657">
        <v>5</v>
      </c>
      <c r="D657">
        <v>4.7917158611883313</v>
      </c>
      <c r="E657">
        <v>6.5058528367774908</v>
      </c>
      <c r="F657">
        <v>10.717295348863344</v>
      </c>
    </row>
    <row r="658" spans="1:9">
      <c r="A658" s="24">
        <v>3176</v>
      </c>
      <c r="B658">
        <v>77</v>
      </c>
      <c r="C658">
        <v>622</v>
      </c>
      <c r="D658">
        <v>0</v>
      </c>
      <c r="E658">
        <v>0</v>
      </c>
      <c r="F658">
        <v>0</v>
      </c>
    </row>
    <row r="659" spans="1:9">
      <c r="A659" s="24">
        <v>3178</v>
      </c>
      <c r="B659">
        <v>29</v>
      </c>
      <c r="C659">
        <v>33</v>
      </c>
      <c r="D659">
        <v>13.082669369793027</v>
      </c>
      <c r="E659">
        <v>17.648539612480988</v>
      </c>
      <c r="F659">
        <v>28.827507258228405</v>
      </c>
    </row>
    <row r="660" spans="1:9">
      <c r="A660" s="24">
        <v>3188</v>
      </c>
      <c r="B660">
        <v>21</v>
      </c>
      <c r="C660">
        <v>8</v>
      </c>
      <c r="D660">
        <v>5.2712087893748176</v>
      </c>
      <c r="E660">
        <v>7.4100592676057309</v>
      </c>
      <c r="F660">
        <v>12.75115050294731</v>
      </c>
    </row>
    <row r="661" spans="1:9">
      <c r="A661" s="24">
        <v>3189</v>
      </c>
      <c r="B661">
        <v>44</v>
      </c>
      <c r="C661">
        <v>3182</v>
      </c>
      <c r="D661">
        <v>32.167991166494517</v>
      </c>
      <c r="E661">
        <v>44.008158666747462</v>
      </c>
      <c r="F661">
        <v>73.211375316019428</v>
      </c>
      <c r="H661">
        <v>1</v>
      </c>
      <c r="I661">
        <v>1</v>
      </c>
    </row>
    <row r="662" spans="1:9">
      <c r="A662" s="24">
        <v>3191</v>
      </c>
      <c r="B662">
        <v>17</v>
      </c>
      <c r="C662">
        <v>84</v>
      </c>
      <c r="D662">
        <v>-15.711378566726696</v>
      </c>
      <c r="E662">
        <v>-22.528576367770075</v>
      </c>
      <c r="F662">
        <v>-39.685008794491999</v>
      </c>
    </row>
    <row r="663" spans="1:9">
      <c r="A663" s="24">
        <v>3202</v>
      </c>
      <c r="B663">
        <v>23</v>
      </c>
      <c r="C663">
        <v>4508</v>
      </c>
      <c r="D663">
        <v>2.7429836784851598</v>
      </c>
      <c r="E663">
        <v>3.8812783546718603</v>
      </c>
      <c r="F663">
        <v>6.7313948629295446</v>
      </c>
    </row>
    <row r="664" spans="1:9">
      <c r="A664" s="24">
        <v>3205</v>
      </c>
      <c r="B664">
        <v>62</v>
      </c>
      <c r="C664">
        <v>423</v>
      </c>
      <c r="D664">
        <v>-0.96215112436159744</v>
      </c>
      <c r="E664">
        <v>-1.1379431461751119</v>
      </c>
      <c r="F664">
        <v>-1.5125278264435205</v>
      </c>
    </row>
    <row r="665" spans="1:9">
      <c r="A665" s="24">
        <v>3206</v>
      </c>
      <c r="B665">
        <v>29</v>
      </c>
      <c r="C665">
        <v>296</v>
      </c>
      <c r="D665">
        <v>23.614172231486727</v>
      </c>
      <c r="E665">
        <v>30.415020679761241</v>
      </c>
      <c r="F665">
        <v>46.563487747097199</v>
      </c>
      <c r="H665">
        <v>1</v>
      </c>
      <c r="I665">
        <v>1</v>
      </c>
    </row>
    <row r="666" spans="1:9">
      <c r="A666" s="24">
        <v>3207</v>
      </c>
      <c r="B666">
        <v>13</v>
      </c>
      <c r="C666">
        <v>23</v>
      </c>
      <c r="D666">
        <v>0</v>
      </c>
      <c r="E666">
        <v>0</v>
      </c>
      <c r="F666">
        <v>0</v>
      </c>
    </row>
    <row r="667" spans="1:9">
      <c r="A667" s="24">
        <v>3209</v>
      </c>
      <c r="B667">
        <v>20</v>
      </c>
      <c r="C667">
        <v>400</v>
      </c>
      <c r="D667">
        <v>13.219082761113496</v>
      </c>
      <c r="E667">
        <v>16.92711193466852</v>
      </c>
      <c r="F667">
        <v>25.689871730639261</v>
      </c>
      <c r="I667">
        <v>1</v>
      </c>
    </row>
    <row r="668" spans="1:9">
      <c r="A668" s="24">
        <v>3211</v>
      </c>
      <c r="B668">
        <v>48</v>
      </c>
      <c r="C668">
        <v>155</v>
      </c>
      <c r="D668">
        <v>41.146415886026617</v>
      </c>
      <c r="E668">
        <v>52.719312252875355</v>
      </c>
      <c r="F668">
        <v>80.081704685902736</v>
      </c>
      <c r="H668">
        <v>1</v>
      </c>
      <c r="I668">
        <v>1</v>
      </c>
    </row>
    <row r="669" spans="1:9">
      <c r="A669" s="24">
        <v>3213</v>
      </c>
      <c r="B669">
        <v>44</v>
      </c>
      <c r="C669">
        <v>103</v>
      </c>
      <c r="D669">
        <v>36.689428890002404</v>
      </c>
      <c r="E669">
        <v>46.081486002164937</v>
      </c>
      <c r="F669">
        <v>67.88619557389903</v>
      </c>
      <c r="H669">
        <v>1</v>
      </c>
      <c r="I669">
        <v>1</v>
      </c>
    </row>
    <row r="670" spans="1:9">
      <c r="A670" s="24">
        <v>3217</v>
      </c>
      <c r="B670">
        <v>51</v>
      </c>
      <c r="C670">
        <v>2837</v>
      </c>
      <c r="D670">
        <v>37.066966937498748</v>
      </c>
      <c r="E670">
        <v>47.64477155833098</v>
      </c>
      <c r="F670">
        <v>72.720348255644012</v>
      </c>
      <c r="I670">
        <v>1</v>
      </c>
    </row>
    <row r="671" spans="1:9">
      <c r="A671" s="24">
        <v>3218</v>
      </c>
      <c r="B671">
        <v>40</v>
      </c>
      <c r="C671">
        <v>1297</v>
      </c>
      <c r="D671">
        <v>16.324367453000981</v>
      </c>
      <c r="E671">
        <v>21.303071932870196</v>
      </c>
      <c r="F671">
        <v>33.242137112157856</v>
      </c>
    </row>
    <row r="672" spans="1:9">
      <c r="A672" s="24">
        <v>3219</v>
      </c>
      <c r="B672">
        <v>25</v>
      </c>
      <c r="C672">
        <v>0</v>
      </c>
      <c r="D672">
        <v>0</v>
      </c>
      <c r="E672">
        <v>0</v>
      </c>
      <c r="F672">
        <v>0</v>
      </c>
    </row>
    <row r="673" spans="1:9">
      <c r="A673" s="24">
        <v>3221</v>
      </c>
      <c r="B673">
        <v>22</v>
      </c>
      <c r="C673">
        <v>602</v>
      </c>
      <c r="D673">
        <v>6.5534106360976478</v>
      </c>
      <c r="E673">
        <v>8.7297735610894662</v>
      </c>
      <c r="F673">
        <v>14.019677656087818</v>
      </c>
    </row>
    <row r="674" spans="1:9">
      <c r="A674" s="24">
        <v>3224</v>
      </c>
      <c r="B674">
        <v>59</v>
      </c>
      <c r="C674">
        <v>45</v>
      </c>
      <c r="D674">
        <v>0</v>
      </c>
      <c r="E674">
        <v>0</v>
      </c>
      <c r="F674">
        <v>0</v>
      </c>
    </row>
    <row r="675" spans="1:9">
      <c r="A675" s="24">
        <v>3226</v>
      </c>
      <c r="B675">
        <v>60</v>
      </c>
      <c r="C675">
        <v>7</v>
      </c>
      <c r="D675">
        <v>39.060186078109382</v>
      </c>
      <c r="E675">
        <v>51.094268576842495</v>
      </c>
      <c r="F675">
        <v>80.000731380208904</v>
      </c>
      <c r="I675">
        <v>1</v>
      </c>
    </row>
    <row r="676" spans="1:9">
      <c r="A676" s="24">
        <v>3227</v>
      </c>
      <c r="B676">
        <v>113</v>
      </c>
      <c r="C676">
        <v>3474</v>
      </c>
      <c r="D676">
        <v>68.905969459863954</v>
      </c>
      <c r="E676">
        <v>88.085733582460392</v>
      </c>
      <c r="F676">
        <v>133.34649757601574</v>
      </c>
      <c r="I676">
        <v>1</v>
      </c>
    </row>
    <row r="677" spans="1:9">
      <c r="A677" s="24">
        <v>3228</v>
      </c>
      <c r="B677">
        <v>23</v>
      </c>
      <c r="C677">
        <v>58</v>
      </c>
      <c r="D677">
        <v>6.0096023017729605</v>
      </c>
      <c r="E677">
        <v>8.6171804606720528</v>
      </c>
      <c r="F677">
        <v>15.179515863893188</v>
      </c>
    </row>
    <row r="678" spans="1:9">
      <c r="A678" s="24">
        <v>3229</v>
      </c>
      <c r="B678">
        <v>12</v>
      </c>
      <c r="C678">
        <v>22</v>
      </c>
      <c r="D678">
        <v>0</v>
      </c>
      <c r="E678">
        <v>0</v>
      </c>
      <c r="F678">
        <v>0</v>
      </c>
    </row>
    <row r="679" spans="1:9">
      <c r="A679" s="24">
        <v>3230</v>
      </c>
      <c r="B679">
        <v>5</v>
      </c>
      <c r="C679">
        <v>8</v>
      </c>
      <c r="D679">
        <v>0</v>
      </c>
      <c r="E679">
        <v>0</v>
      </c>
      <c r="F679">
        <v>0</v>
      </c>
    </row>
    <row r="680" spans="1:9">
      <c r="A680" s="24">
        <v>3231</v>
      </c>
      <c r="B680">
        <v>23</v>
      </c>
      <c r="C680">
        <v>11990</v>
      </c>
      <c r="D680">
        <v>37.17951729047072</v>
      </c>
      <c r="E680">
        <v>46.992584100287985</v>
      </c>
      <c r="F680">
        <v>69.915291827751659</v>
      </c>
      <c r="G680">
        <v>1</v>
      </c>
      <c r="H680">
        <v>1</v>
      </c>
      <c r="I680">
        <v>1</v>
      </c>
    </row>
    <row r="681" spans="1:9">
      <c r="A681" s="24">
        <v>3232</v>
      </c>
      <c r="B681">
        <v>16</v>
      </c>
      <c r="C681">
        <v>851</v>
      </c>
      <c r="D681">
        <v>9.3423104540286914</v>
      </c>
      <c r="E681">
        <v>12.514399265968281</v>
      </c>
      <c r="F681">
        <v>20.250028240170835</v>
      </c>
      <c r="I681">
        <v>1</v>
      </c>
    </row>
    <row r="682" spans="1:9">
      <c r="A682" s="24">
        <v>3234</v>
      </c>
      <c r="B682">
        <v>29</v>
      </c>
      <c r="C682">
        <v>1695</v>
      </c>
      <c r="D682">
        <v>-4.4895691409682481</v>
      </c>
      <c r="E682">
        <v>-5.3098461394346161</v>
      </c>
      <c r="F682">
        <v>-7.0577252185432684</v>
      </c>
    </row>
    <row r="683" spans="1:9">
      <c r="A683" s="24">
        <v>3236</v>
      </c>
      <c r="B683">
        <v>23</v>
      </c>
      <c r="C683">
        <v>667</v>
      </c>
      <c r="D683">
        <v>17.978647113665673</v>
      </c>
      <c r="E683">
        <v>23.479336523944816</v>
      </c>
      <c r="F683">
        <v>36.67710296549933</v>
      </c>
      <c r="H683">
        <v>1</v>
      </c>
      <c r="I683">
        <v>1</v>
      </c>
    </row>
    <row r="684" spans="1:9">
      <c r="A684" s="24">
        <v>3252</v>
      </c>
      <c r="B684">
        <v>17</v>
      </c>
      <c r="C684">
        <v>37</v>
      </c>
      <c r="D684">
        <v>4.5041597054095988</v>
      </c>
      <c r="E684">
        <v>6.3571688764331453</v>
      </c>
      <c r="F684">
        <v>10.992084429379075</v>
      </c>
    </row>
    <row r="685" spans="1:9">
      <c r="A685" s="24">
        <v>3257</v>
      </c>
      <c r="B685">
        <v>60</v>
      </c>
      <c r="C685">
        <v>246</v>
      </c>
      <c r="D685">
        <v>25.347750746696022</v>
      </c>
      <c r="E685">
        <v>33.903031884698919</v>
      </c>
      <c r="F685">
        <v>54.748012897063902</v>
      </c>
    </row>
    <row r="686" spans="1:9">
      <c r="A686" s="24">
        <v>3259</v>
      </c>
      <c r="B686">
        <v>21</v>
      </c>
      <c r="C686">
        <v>17</v>
      </c>
      <c r="D686">
        <v>0</v>
      </c>
      <c r="E686">
        <v>0</v>
      </c>
      <c r="F686">
        <v>0</v>
      </c>
    </row>
    <row r="687" spans="1:9">
      <c r="A687" s="24">
        <v>3260</v>
      </c>
      <c r="B687">
        <v>49</v>
      </c>
      <c r="C687">
        <v>4374</v>
      </c>
      <c r="D687">
        <v>-12.160995064267636</v>
      </c>
      <c r="E687">
        <v>-17.649281533942549</v>
      </c>
      <c r="F687">
        <v>-31.520702242434183</v>
      </c>
    </row>
    <row r="688" spans="1:9">
      <c r="A688" s="24">
        <v>3264</v>
      </c>
      <c r="B688">
        <v>32</v>
      </c>
      <c r="C688">
        <v>1595</v>
      </c>
      <c r="D688">
        <v>22.84129697082011</v>
      </c>
      <c r="E688">
        <v>29.407908136384172</v>
      </c>
      <c r="F688">
        <v>44.995258411582029</v>
      </c>
      <c r="I688">
        <v>1</v>
      </c>
    </row>
    <row r="689" spans="1:9">
      <c r="A689" s="24">
        <v>3265</v>
      </c>
      <c r="B689">
        <v>28</v>
      </c>
      <c r="C689">
        <v>2314</v>
      </c>
      <c r="D689">
        <v>8.541968348348794</v>
      </c>
      <c r="E689">
        <v>11.066749741341791</v>
      </c>
      <c r="F689">
        <v>17.089144634383377</v>
      </c>
    </row>
    <row r="690" spans="1:9">
      <c r="A690" s="24">
        <v>3266</v>
      </c>
      <c r="B690">
        <v>12</v>
      </c>
      <c r="C690">
        <v>54</v>
      </c>
      <c r="D690">
        <v>3.0445594488809817</v>
      </c>
      <c r="E690">
        <v>4.120930050147523</v>
      </c>
      <c r="F690">
        <v>6.7611098590282843</v>
      </c>
    </row>
    <row r="691" spans="1:9">
      <c r="A691" s="24">
        <v>3268</v>
      </c>
      <c r="B691">
        <v>11</v>
      </c>
      <c r="C691">
        <v>30</v>
      </c>
      <c r="D691">
        <v>-6.0114785983186099E-2</v>
      </c>
      <c r="E691">
        <v>-7.1098195451093596E-2</v>
      </c>
      <c r="F691">
        <v>-9.4502084213221954E-2</v>
      </c>
    </row>
    <row r="692" spans="1:9">
      <c r="A692" s="24">
        <v>3272</v>
      </c>
      <c r="B692">
        <v>33</v>
      </c>
      <c r="C692">
        <v>59</v>
      </c>
      <c r="D692">
        <v>21.172679406668955</v>
      </c>
      <c r="E692">
        <v>27.987723233822294</v>
      </c>
      <c r="F692">
        <v>44.4731708022288</v>
      </c>
      <c r="I692">
        <v>1</v>
      </c>
    </row>
    <row r="693" spans="1:9">
      <c r="A693" s="24">
        <v>3276</v>
      </c>
      <c r="B693">
        <v>9</v>
      </c>
      <c r="C693">
        <v>14</v>
      </c>
      <c r="D693">
        <v>-10.534624695934436</v>
      </c>
      <c r="E693">
        <v>-14.837917351462783</v>
      </c>
      <c r="F693">
        <v>-25.592635124450716</v>
      </c>
    </row>
    <row r="694" spans="1:9">
      <c r="A694" s="24">
        <v>3284</v>
      </c>
      <c r="B694">
        <v>13</v>
      </c>
      <c r="C694">
        <v>67</v>
      </c>
      <c r="D694">
        <v>1.0230247394523428</v>
      </c>
      <c r="E694">
        <v>1.3431370518555941</v>
      </c>
      <c r="F694">
        <v>2.1140101958956503</v>
      </c>
    </row>
    <row r="695" spans="1:9">
      <c r="A695" s="24">
        <v>3285</v>
      </c>
      <c r="B695">
        <v>19</v>
      </c>
      <c r="C695">
        <v>144</v>
      </c>
      <c r="D695">
        <v>22.033447851252909</v>
      </c>
      <c r="E695">
        <v>28.317939447109175</v>
      </c>
      <c r="F695">
        <v>43.21449243070488</v>
      </c>
      <c r="G695">
        <v>1</v>
      </c>
      <c r="H695">
        <v>1</v>
      </c>
      <c r="I695">
        <v>1</v>
      </c>
    </row>
    <row r="696" spans="1:9">
      <c r="A696" s="24">
        <v>3287</v>
      </c>
      <c r="B696">
        <v>8</v>
      </c>
      <c r="C696">
        <v>3</v>
      </c>
      <c r="D696">
        <v>0</v>
      </c>
      <c r="E696">
        <v>0</v>
      </c>
      <c r="F696">
        <v>0</v>
      </c>
    </row>
    <row r="697" spans="1:9">
      <c r="A697" s="24">
        <v>3288</v>
      </c>
      <c r="B697">
        <v>14</v>
      </c>
      <c r="C697">
        <v>34</v>
      </c>
      <c r="D697">
        <v>0.61863553106486358</v>
      </c>
      <c r="E697">
        <v>0.88706269448094677</v>
      </c>
      <c r="F697">
        <v>1.5625972212831225</v>
      </c>
    </row>
    <row r="698" spans="1:9">
      <c r="A698" s="24">
        <v>3289</v>
      </c>
      <c r="B698">
        <v>53</v>
      </c>
      <c r="C698">
        <v>2637</v>
      </c>
      <c r="D698">
        <v>-74.448278376739836</v>
      </c>
      <c r="E698">
        <v>-104.25630692026921</v>
      </c>
      <c r="F698">
        <v>-178.57219064026773</v>
      </c>
    </row>
    <row r="699" spans="1:9">
      <c r="A699" s="24">
        <v>3290</v>
      </c>
      <c r="B699">
        <v>24</v>
      </c>
      <c r="C699">
        <v>1377</v>
      </c>
      <c r="D699">
        <v>14.995102196372844</v>
      </c>
      <c r="E699">
        <v>19.222196958944295</v>
      </c>
      <c r="F699">
        <v>29.220669032178513</v>
      </c>
      <c r="I699">
        <v>1</v>
      </c>
    </row>
    <row r="700" spans="1:9">
      <c r="A700" s="24">
        <v>3293</v>
      </c>
      <c r="B700">
        <v>383</v>
      </c>
      <c r="C700">
        <v>626</v>
      </c>
      <c r="D700">
        <v>129.96646530082435</v>
      </c>
      <c r="E700">
        <v>168.86728507185811</v>
      </c>
      <c r="F700">
        <v>261.85819519956641</v>
      </c>
    </row>
    <row r="701" spans="1:9">
      <c r="A701" s="24">
        <v>3294</v>
      </c>
      <c r="B701">
        <v>14</v>
      </c>
      <c r="C701">
        <v>20</v>
      </c>
      <c r="D701">
        <v>148.94714136208995</v>
      </c>
      <c r="E701">
        <v>211.24778984078975</v>
      </c>
      <c r="F701">
        <v>367.38287906030058</v>
      </c>
      <c r="G701">
        <v>1</v>
      </c>
      <c r="H701">
        <v>1</v>
      </c>
      <c r="I701">
        <v>1</v>
      </c>
    </row>
    <row r="702" spans="1:9">
      <c r="A702" s="24">
        <v>3296</v>
      </c>
      <c r="B702">
        <v>15</v>
      </c>
      <c r="C702">
        <v>49</v>
      </c>
      <c r="D702">
        <v>8.1300141991009856</v>
      </c>
      <c r="E702">
        <v>10.436816169695428</v>
      </c>
      <c r="F702">
        <v>15.899626413206683</v>
      </c>
      <c r="I702">
        <v>1</v>
      </c>
    </row>
    <row r="703" spans="1:9">
      <c r="A703" s="24">
        <v>3297</v>
      </c>
      <c r="B703">
        <v>13</v>
      </c>
      <c r="C703">
        <v>111</v>
      </c>
      <c r="D703">
        <v>-0.12485176120525002</v>
      </c>
      <c r="E703">
        <v>-0.14766308779784931</v>
      </c>
      <c r="F703">
        <v>-0.19627037605835754</v>
      </c>
    </row>
    <row r="704" spans="1:9">
      <c r="A704" s="24">
        <v>3303</v>
      </c>
      <c r="B704">
        <v>24</v>
      </c>
      <c r="C704">
        <v>150</v>
      </c>
      <c r="D704">
        <v>24.501995143117067</v>
      </c>
      <c r="E704">
        <v>30.85086343411232</v>
      </c>
      <c r="F704">
        <v>45.626927762941804</v>
      </c>
      <c r="G704">
        <v>1</v>
      </c>
      <c r="H704">
        <v>1</v>
      </c>
      <c r="I704">
        <v>1</v>
      </c>
    </row>
    <row r="705" spans="1:9">
      <c r="A705" s="24">
        <v>3305</v>
      </c>
      <c r="B705">
        <v>22</v>
      </c>
      <c r="C705">
        <v>353</v>
      </c>
      <c r="D705">
        <v>18.966673128915794</v>
      </c>
      <c r="E705">
        <v>24.630410101097482</v>
      </c>
      <c r="F705">
        <v>38.163961259095544</v>
      </c>
      <c r="H705">
        <v>1</v>
      </c>
      <c r="I705">
        <v>1</v>
      </c>
    </row>
    <row r="706" spans="1:9">
      <c r="A706" s="24">
        <v>3306</v>
      </c>
      <c r="B706">
        <v>23</v>
      </c>
      <c r="C706">
        <v>272</v>
      </c>
      <c r="D706">
        <v>6.9855662553627509</v>
      </c>
      <c r="E706">
        <v>9.7359406106285018</v>
      </c>
      <c r="F706">
        <v>16.578881198816148</v>
      </c>
    </row>
    <row r="707" spans="1:9">
      <c r="A707" s="24">
        <v>3308</v>
      </c>
      <c r="B707">
        <v>6</v>
      </c>
      <c r="C707">
        <v>3</v>
      </c>
      <c r="D707">
        <v>0</v>
      </c>
      <c r="E707">
        <v>0</v>
      </c>
      <c r="F707">
        <v>0</v>
      </c>
    </row>
    <row r="708" spans="1:9">
      <c r="A708" s="24">
        <v>3310</v>
      </c>
      <c r="B708">
        <v>40</v>
      </c>
      <c r="C708">
        <v>100</v>
      </c>
      <c r="D708">
        <v>44.20536089976828</v>
      </c>
      <c r="E708">
        <v>54.945967219973255</v>
      </c>
      <c r="F708">
        <v>79.607781486844175</v>
      </c>
      <c r="G708">
        <v>1</v>
      </c>
      <c r="H708">
        <v>1</v>
      </c>
      <c r="I708">
        <v>1</v>
      </c>
    </row>
    <row r="709" spans="1:9">
      <c r="A709" s="24">
        <v>3311</v>
      </c>
      <c r="B709">
        <v>15</v>
      </c>
      <c r="C709">
        <v>208</v>
      </c>
      <c r="D709">
        <v>0.14875007879359761</v>
      </c>
      <c r="E709">
        <v>0.17592780216153162</v>
      </c>
      <c r="F709">
        <v>0.23383918353810179</v>
      </c>
    </row>
    <row r="710" spans="1:9">
      <c r="A710" s="24">
        <v>3312</v>
      </c>
      <c r="B710">
        <v>16</v>
      </c>
      <c r="C710">
        <v>2723</v>
      </c>
      <c r="D710">
        <v>6.4983822908368918</v>
      </c>
      <c r="E710">
        <v>8.4498921601959047</v>
      </c>
      <c r="F710">
        <v>13.117525574875655</v>
      </c>
    </row>
    <row r="711" spans="1:9">
      <c r="A711" s="24">
        <v>3313</v>
      </c>
      <c r="B711">
        <v>19</v>
      </c>
      <c r="C711">
        <v>49</v>
      </c>
      <c r="D711">
        <v>0</v>
      </c>
      <c r="E711">
        <v>0</v>
      </c>
      <c r="F711">
        <v>0</v>
      </c>
    </row>
    <row r="712" spans="1:9">
      <c r="A712" s="24">
        <v>3317</v>
      </c>
      <c r="B712">
        <v>37</v>
      </c>
      <c r="C712">
        <v>639</v>
      </c>
      <c r="D712">
        <v>11.669445929464834</v>
      </c>
      <c r="E712">
        <v>16.194173745623146</v>
      </c>
      <c r="F712">
        <v>27.430127549626967</v>
      </c>
    </row>
    <row r="713" spans="1:9">
      <c r="A713" s="24">
        <v>3321</v>
      </c>
      <c r="B713">
        <v>13</v>
      </c>
      <c r="C713">
        <v>131</v>
      </c>
      <c r="D713">
        <v>-3.3300784306372866</v>
      </c>
      <c r="E713">
        <v>-3.9385080268794859</v>
      </c>
      <c r="F713">
        <v>-5.2349741771806215</v>
      </c>
    </row>
    <row r="714" spans="1:9">
      <c r="A714" s="24">
        <v>3322</v>
      </c>
      <c r="B714">
        <v>9</v>
      </c>
      <c r="C714">
        <v>137</v>
      </c>
      <c r="D714">
        <v>9.2740005481166961</v>
      </c>
      <c r="E714">
        <v>11.481981234440218</v>
      </c>
      <c r="F714">
        <v>16.529073329707369</v>
      </c>
      <c r="G714">
        <v>1</v>
      </c>
      <c r="H714">
        <v>1</v>
      </c>
      <c r="I714">
        <v>1</v>
      </c>
    </row>
    <row r="715" spans="1:9">
      <c r="A715" s="24">
        <v>3323</v>
      </c>
      <c r="B715">
        <v>30</v>
      </c>
      <c r="C715">
        <v>615</v>
      </c>
      <c r="D715">
        <v>23.626894284953821</v>
      </c>
      <c r="E715">
        <v>30.322357459213929</v>
      </c>
      <c r="F715">
        <v>46.174486252125078</v>
      </c>
      <c r="H715">
        <v>1</v>
      </c>
      <c r="I715">
        <v>1</v>
      </c>
    </row>
    <row r="716" spans="1:9">
      <c r="A716" s="24">
        <v>3324</v>
      </c>
      <c r="B716">
        <v>158</v>
      </c>
      <c r="C716">
        <v>4399</v>
      </c>
      <c r="D716">
        <v>36.034510781534308</v>
      </c>
      <c r="E716">
        <v>48.873045728795248</v>
      </c>
      <c r="F716">
        <v>80.39816702809</v>
      </c>
    </row>
    <row r="717" spans="1:9">
      <c r="A717" s="24">
        <v>3325</v>
      </c>
      <c r="B717">
        <v>11</v>
      </c>
      <c r="C717">
        <v>58</v>
      </c>
      <c r="D717">
        <v>-2.4802329536185796</v>
      </c>
      <c r="E717">
        <v>-3.4799252135667196</v>
      </c>
      <c r="F717">
        <v>-5.974327846839885</v>
      </c>
    </row>
    <row r="718" spans="1:9">
      <c r="A718" s="24">
        <v>3332</v>
      </c>
      <c r="B718">
        <v>41</v>
      </c>
      <c r="C718">
        <v>6</v>
      </c>
      <c r="D718">
        <v>27.571305363361407</v>
      </c>
      <c r="E718">
        <v>35.76410201967478</v>
      </c>
      <c r="F718">
        <v>55.324385673676986</v>
      </c>
      <c r="I718">
        <v>1</v>
      </c>
    </row>
    <row r="719" spans="1:9">
      <c r="A719" s="24">
        <v>3338</v>
      </c>
      <c r="B719">
        <v>63</v>
      </c>
      <c r="C719">
        <v>10949</v>
      </c>
      <c r="D719">
        <v>16.981440137731546</v>
      </c>
      <c r="E719">
        <v>22.511240881724412</v>
      </c>
      <c r="F719">
        <v>35.911857482341134</v>
      </c>
    </row>
    <row r="720" spans="1:9">
      <c r="A720" s="24">
        <v>3339</v>
      </c>
      <c r="B720">
        <v>5</v>
      </c>
      <c r="C720">
        <v>13</v>
      </c>
      <c r="D720">
        <v>0</v>
      </c>
      <c r="E720">
        <v>0</v>
      </c>
      <c r="F720">
        <v>0</v>
      </c>
    </row>
    <row r="721" spans="1:9">
      <c r="A721" s="24">
        <v>3346</v>
      </c>
      <c r="B721">
        <v>36</v>
      </c>
      <c r="C721">
        <v>337</v>
      </c>
      <c r="D721">
        <v>16.328270997206264</v>
      </c>
      <c r="E721">
        <v>21.267914209345577</v>
      </c>
      <c r="F721">
        <v>33.097239857111589</v>
      </c>
    </row>
    <row r="722" spans="1:9">
      <c r="A722" s="24">
        <v>3354</v>
      </c>
      <c r="B722">
        <v>16</v>
      </c>
      <c r="C722">
        <v>162</v>
      </c>
      <c r="D722">
        <v>12.02173093383249</v>
      </c>
      <c r="E722">
        <v>15.448686783965542</v>
      </c>
      <c r="F722">
        <v>23.571001158493694</v>
      </c>
      <c r="I722">
        <v>1</v>
      </c>
    </row>
    <row r="723" spans="1:9">
      <c r="A723" s="24">
        <v>3356</v>
      </c>
      <c r="B723">
        <v>32</v>
      </c>
      <c r="C723">
        <v>229</v>
      </c>
      <c r="D723">
        <v>4.6741524499609381</v>
      </c>
      <c r="E723">
        <v>6.238544764152099</v>
      </c>
      <c r="F723">
        <v>10.045427938828762</v>
      </c>
    </row>
    <row r="724" spans="1:9">
      <c r="A724" s="24">
        <v>3360</v>
      </c>
      <c r="B724">
        <v>22</v>
      </c>
      <c r="C724">
        <v>425</v>
      </c>
      <c r="D724">
        <v>7.6616510495303674</v>
      </c>
      <c r="E724">
        <v>10.431529542733827</v>
      </c>
      <c r="F724">
        <v>17.246709084190957</v>
      </c>
    </row>
    <row r="725" spans="1:9">
      <c r="A725" s="24">
        <v>3362</v>
      </c>
      <c r="B725">
        <v>54</v>
      </c>
      <c r="C725">
        <v>363</v>
      </c>
      <c r="D725">
        <v>22.761391776398735</v>
      </c>
      <c r="E725">
        <v>31.412477204309951</v>
      </c>
      <c r="F725">
        <v>52.840358156185232</v>
      </c>
    </row>
    <row r="726" spans="1:9">
      <c r="A726" s="24">
        <v>3363</v>
      </c>
      <c r="B726">
        <v>48</v>
      </c>
      <c r="C726">
        <v>1502</v>
      </c>
      <c r="D726">
        <v>6.689625959108553</v>
      </c>
      <c r="E726">
        <v>10.295460052943445</v>
      </c>
      <c r="F726">
        <v>19.567371059519509</v>
      </c>
    </row>
    <row r="727" spans="1:9">
      <c r="A727" s="24">
        <v>3372</v>
      </c>
      <c r="B727">
        <v>3</v>
      </c>
      <c r="C727">
        <v>111</v>
      </c>
      <c r="D727">
        <v>0</v>
      </c>
      <c r="E727">
        <v>0</v>
      </c>
      <c r="F727">
        <v>0</v>
      </c>
    </row>
    <row r="728" spans="1:9">
      <c r="A728" s="24">
        <v>3373</v>
      </c>
      <c r="B728">
        <v>17</v>
      </c>
      <c r="C728">
        <v>20</v>
      </c>
      <c r="D728">
        <v>9.7290075305144246</v>
      </c>
      <c r="E728">
        <v>13.31954411422247</v>
      </c>
      <c r="F728">
        <v>22.178593659392554</v>
      </c>
      <c r="I728">
        <v>1</v>
      </c>
    </row>
    <row r="729" spans="1:9">
      <c r="A729" s="24">
        <v>3374</v>
      </c>
      <c r="B729">
        <v>51</v>
      </c>
      <c r="C729">
        <v>10702</v>
      </c>
      <c r="D729">
        <v>-7.0292717925870747</v>
      </c>
      <c r="E729">
        <v>-8.3135709728385052</v>
      </c>
      <c r="F729">
        <v>-11.05020710023798</v>
      </c>
    </row>
    <row r="730" spans="1:9">
      <c r="A730" s="24">
        <v>3376</v>
      </c>
      <c r="B730">
        <v>126</v>
      </c>
      <c r="C730">
        <v>1325</v>
      </c>
      <c r="D730">
        <v>68.226827543336356</v>
      </c>
      <c r="E730">
        <v>90.603301643057364</v>
      </c>
      <c r="F730">
        <v>144.88876296894483</v>
      </c>
      <c r="I730">
        <v>1</v>
      </c>
    </row>
    <row r="731" spans="1:9">
      <c r="A731" s="24">
        <v>3379</v>
      </c>
      <c r="B731">
        <v>10</v>
      </c>
      <c r="C731">
        <v>9</v>
      </c>
      <c r="D731">
        <v>-0.95247890801300672</v>
      </c>
      <c r="E731">
        <v>-1.1265037454162088</v>
      </c>
      <c r="F731">
        <v>-1.4973228383702257</v>
      </c>
    </row>
    <row r="732" spans="1:9">
      <c r="A732" s="24">
        <v>3380</v>
      </c>
      <c r="B732">
        <v>22</v>
      </c>
      <c r="C732">
        <v>12019</v>
      </c>
      <c r="D732">
        <v>0.8148147704648645</v>
      </c>
      <c r="E732">
        <v>0.96368736675120603</v>
      </c>
      <c r="F732">
        <v>1.2809110570265503</v>
      </c>
    </row>
    <row r="733" spans="1:9">
      <c r="A733" s="24">
        <v>3383</v>
      </c>
      <c r="B733">
        <v>1</v>
      </c>
      <c r="C733">
        <v>90</v>
      </c>
      <c r="D733">
        <v>0</v>
      </c>
      <c r="E733">
        <v>0</v>
      </c>
      <c r="F733">
        <v>0</v>
      </c>
    </row>
    <row r="734" spans="1:9">
      <c r="A734" s="24">
        <v>3388</v>
      </c>
      <c r="B734">
        <v>70</v>
      </c>
      <c r="C734">
        <v>57</v>
      </c>
      <c r="D734">
        <v>67.109090755193506</v>
      </c>
      <c r="E734">
        <v>85.583157037932807</v>
      </c>
      <c r="F734">
        <v>129.08869095402508</v>
      </c>
      <c r="H734">
        <v>1</v>
      </c>
      <c r="I734">
        <v>1</v>
      </c>
    </row>
    <row r="735" spans="1:9">
      <c r="A735" s="24">
        <v>3390</v>
      </c>
      <c r="B735">
        <v>24</v>
      </c>
      <c r="C735">
        <v>256</v>
      </c>
      <c r="D735">
        <v>24.413458719487092</v>
      </c>
      <c r="E735">
        <v>30.311670795477383</v>
      </c>
      <c r="F735">
        <v>43.837915808463237</v>
      </c>
      <c r="G735">
        <v>1</v>
      </c>
      <c r="H735">
        <v>1</v>
      </c>
      <c r="I735">
        <v>1</v>
      </c>
    </row>
    <row r="736" spans="1:9">
      <c r="A736" s="24">
        <v>3402</v>
      </c>
      <c r="B736">
        <v>32</v>
      </c>
      <c r="C736">
        <v>632</v>
      </c>
      <c r="D736">
        <v>33.687388731778029</v>
      </c>
      <c r="E736">
        <v>42.768452849821628</v>
      </c>
      <c r="F736">
        <v>64.068760211114352</v>
      </c>
      <c r="G736">
        <v>1</v>
      </c>
      <c r="H736">
        <v>1</v>
      </c>
      <c r="I736">
        <v>1</v>
      </c>
    </row>
    <row r="737" spans="1:9">
      <c r="A737" s="24">
        <v>3406</v>
      </c>
      <c r="B737">
        <v>439</v>
      </c>
      <c r="C737">
        <v>11993</v>
      </c>
      <c r="D737">
        <v>76.236571499601496</v>
      </c>
      <c r="E737">
        <v>106.88944321725214</v>
      </c>
      <c r="F737">
        <v>183.35082706294986</v>
      </c>
    </row>
    <row r="738" spans="1:9">
      <c r="A738" s="24">
        <v>3413</v>
      </c>
      <c r="B738">
        <v>124</v>
      </c>
      <c r="C738">
        <v>156</v>
      </c>
      <c r="D738">
        <v>84.030562824860112</v>
      </c>
      <c r="E738">
        <v>109.98761868745612</v>
      </c>
      <c r="F738">
        <v>172.36463383521229</v>
      </c>
      <c r="I738">
        <v>1</v>
      </c>
    </row>
    <row r="739" spans="1:9">
      <c r="A739" s="24">
        <v>3416</v>
      </c>
      <c r="B739">
        <v>52</v>
      </c>
      <c r="C739">
        <v>50</v>
      </c>
      <c r="D739">
        <v>42.119220895770752</v>
      </c>
      <c r="E739">
        <v>54.888575680509788</v>
      </c>
      <c r="F739">
        <v>85.479317564191916</v>
      </c>
      <c r="H739">
        <v>1</v>
      </c>
      <c r="I739">
        <v>1</v>
      </c>
    </row>
    <row r="740" spans="1:9">
      <c r="A740" s="24">
        <v>3419</v>
      </c>
      <c r="B740">
        <v>17</v>
      </c>
      <c r="C740">
        <v>2277</v>
      </c>
      <c r="D740">
        <v>4.8491861791973552</v>
      </c>
      <c r="E740">
        <v>6.8796860201616639</v>
      </c>
      <c r="F740">
        <v>11.969077956532267</v>
      </c>
    </row>
    <row r="741" spans="1:9">
      <c r="A741" s="24">
        <v>3426</v>
      </c>
      <c r="B741">
        <v>46</v>
      </c>
      <c r="C741">
        <v>13</v>
      </c>
      <c r="D741">
        <v>35.866077328828041</v>
      </c>
      <c r="E741">
        <v>47.036609920759169</v>
      </c>
      <c r="F741">
        <v>73.916415100825958</v>
      </c>
      <c r="H741">
        <v>1</v>
      </c>
      <c r="I741">
        <v>1</v>
      </c>
    </row>
    <row r="742" spans="1:9">
      <c r="A742" s="24">
        <v>3432</v>
      </c>
      <c r="B742">
        <v>15</v>
      </c>
      <c r="C742">
        <v>263</v>
      </c>
      <c r="D742">
        <v>-11.423496614250256</v>
      </c>
      <c r="E742">
        <v>-12.381639058774738</v>
      </c>
      <c r="F742">
        <v>-13.67089822953303</v>
      </c>
    </row>
    <row r="743" spans="1:9">
      <c r="A743" s="24">
        <v>3434</v>
      </c>
      <c r="B743">
        <v>15</v>
      </c>
      <c r="C743">
        <v>2</v>
      </c>
      <c r="D743">
        <v>1.6231597627164391</v>
      </c>
      <c r="E743">
        <v>2.1639196484388656</v>
      </c>
      <c r="F743">
        <v>3.4789283189443641</v>
      </c>
    </row>
    <row r="744" spans="1:9">
      <c r="A744" s="24">
        <v>3437</v>
      </c>
      <c r="B744">
        <v>16</v>
      </c>
      <c r="C744">
        <v>524</v>
      </c>
      <c r="D744">
        <v>-9.4844281446008498</v>
      </c>
      <c r="E744">
        <v>-11.217302281593266</v>
      </c>
      <c r="F744">
        <v>-14.90977989152309</v>
      </c>
    </row>
    <row r="745" spans="1:9">
      <c r="A745" s="24">
        <v>3438</v>
      </c>
      <c r="B745">
        <v>23</v>
      </c>
      <c r="C745">
        <v>11</v>
      </c>
      <c r="D745">
        <v>-44.677942524629074</v>
      </c>
      <c r="E745">
        <v>-52.840928201212691</v>
      </c>
      <c r="F745">
        <v>-70.234944995344591</v>
      </c>
    </row>
    <row r="746" spans="1:9">
      <c r="A746" s="24">
        <v>3441</v>
      </c>
      <c r="B746">
        <v>32</v>
      </c>
      <c r="C746">
        <v>180</v>
      </c>
      <c r="D746">
        <v>-8.2475867249547417</v>
      </c>
      <c r="E746">
        <v>-9.1439889995208379</v>
      </c>
      <c r="F746">
        <v>-10.647239242030029</v>
      </c>
    </row>
    <row r="747" spans="1:9">
      <c r="A747" s="24">
        <v>3443</v>
      </c>
      <c r="B747">
        <v>268</v>
      </c>
      <c r="C747">
        <v>2460</v>
      </c>
      <c r="D747">
        <v>97.474115303245796</v>
      </c>
      <c r="E747">
        <v>130.14291909117344</v>
      </c>
      <c r="F747">
        <v>209.6575237424089</v>
      </c>
    </row>
    <row r="748" spans="1:9">
      <c r="A748" s="24">
        <v>3444</v>
      </c>
      <c r="B748">
        <v>30</v>
      </c>
      <c r="C748">
        <v>1585</v>
      </c>
      <c r="D748">
        <v>15.679756535933258</v>
      </c>
      <c r="E748">
        <v>20.342738523092024</v>
      </c>
      <c r="F748">
        <v>31.477134904896953</v>
      </c>
      <c r="I748">
        <v>1</v>
      </c>
    </row>
    <row r="749" spans="1:9">
      <c r="A749" s="24">
        <v>3450</v>
      </c>
      <c r="B749">
        <v>55</v>
      </c>
      <c r="C749">
        <v>826</v>
      </c>
      <c r="D749">
        <v>91.286433950703554</v>
      </c>
      <c r="E749">
        <v>121.66913342785577</v>
      </c>
      <c r="F749">
        <v>195.54232894251072</v>
      </c>
      <c r="G749">
        <v>1</v>
      </c>
      <c r="H749">
        <v>1</v>
      </c>
      <c r="I749">
        <v>1</v>
      </c>
    </row>
    <row r="750" spans="1:9">
      <c r="A750" s="24">
        <v>3452</v>
      </c>
      <c r="B750">
        <v>3</v>
      </c>
      <c r="C750">
        <v>66</v>
      </c>
      <c r="D750">
        <v>0</v>
      </c>
      <c r="E750">
        <v>0</v>
      </c>
      <c r="F750">
        <v>0</v>
      </c>
    </row>
    <row r="751" spans="1:9">
      <c r="A751" s="24">
        <v>3454</v>
      </c>
      <c r="B751">
        <v>126</v>
      </c>
      <c r="C751">
        <v>1119</v>
      </c>
      <c r="D751">
        <v>40.454947220402239</v>
      </c>
      <c r="E751">
        <v>53.747782793154968</v>
      </c>
      <c r="F751">
        <v>86.005472216503307</v>
      </c>
    </row>
    <row r="752" spans="1:9">
      <c r="A752" s="24">
        <v>3455</v>
      </c>
      <c r="B752">
        <v>71</v>
      </c>
      <c r="C752">
        <v>191</v>
      </c>
      <c r="D752">
        <v>45.150882550194567</v>
      </c>
      <c r="E752">
        <v>59.285626624815592</v>
      </c>
      <c r="F752">
        <v>93.326577079564188</v>
      </c>
      <c r="I752">
        <v>1</v>
      </c>
    </row>
    <row r="753" spans="1:9">
      <c r="A753" s="24">
        <v>3465</v>
      </c>
      <c r="B753">
        <v>35</v>
      </c>
      <c r="C753">
        <v>4</v>
      </c>
      <c r="D753">
        <v>0</v>
      </c>
      <c r="E753">
        <v>0</v>
      </c>
      <c r="F753">
        <v>0</v>
      </c>
    </row>
    <row r="754" spans="1:9">
      <c r="A754" s="24">
        <v>3466</v>
      </c>
      <c r="B754">
        <v>19</v>
      </c>
      <c r="C754">
        <v>95</v>
      </c>
      <c r="D754">
        <v>1.2640464839962797</v>
      </c>
      <c r="E754">
        <v>1.0460695948852834</v>
      </c>
      <c r="F754">
        <v>0.28242475440129411</v>
      </c>
    </row>
    <row r="755" spans="1:9">
      <c r="A755" s="24">
        <v>3479</v>
      </c>
      <c r="B755">
        <v>62</v>
      </c>
      <c r="C755">
        <v>1069</v>
      </c>
      <c r="D755">
        <v>37.90546133020861</v>
      </c>
      <c r="E755">
        <v>49.169522219143424</v>
      </c>
      <c r="F755">
        <v>76.062637412188764</v>
      </c>
      <c r="I755">
        <v>1</v>
      </c>
    </row>
    <row r="756" spans="1:9">
      <c r="A756" s="24">
        <v>3481</v>
      </c>
      <c r="B756">
        <v>7</v>
      </c>
      <c r="C756">
        <v>76150</v>
      </c>
      <c r="D756">
        <v>3.6035053786105262</v>
      </c>
      <c r="E756">
        <v>4.8969970338586455</v>
      </c>
      <c r="F756">
        <v>8.0764629241029962</v>
      </c>
      <c r="I756">
        <v>1</v>
      </c>
    </row>
    <row r="757" spans="1:9">
      <c r="A757" s="24">
        <v>3483</v>
      </c>
      <c r="B757">
        <v>43</v>
      </c>
      <c r="C757">
        <v>6544</v>
      </c>
      <c r="D757">
        <v>19.208337700473496</v>
      </c>
      <c r="E757">
        <v>25.06212995369663</v>
      </c>
      <c r="F757">
        <v>39.097889076497729</v>
      </c>
    </row>
    <row r="758" spans="1:9">
      <c r="A758" s="24">
        <v>3484</v>
      </c>
      <c r="B758">
        <v>27</v>
      </c>
      <c r="C758">
        <v>67</v>
      </c>
      <c r="D758">
        <v>15.574368910192199</v>
      </c>
      <c r="E758">
        <v>20.246638289614133</v>
      </c>
      <c r="F758">
        <v>31.419845692110112</v>
      </c>
      <c r="I758">
        <v>1</v>
      </c>
    </row>
    <row r="759" spans="1:9">
      <c r="A759" s="24">
        <v>3489</v>
      </c>
      <c r="B759">
        <v>9</v>
      </c>
      <c r="C759">
        <v>2</v>
      </c>
      <c r="D759">
        <v>3.5132341568056424</v>
      </c>
      <c r="E759">
        <v>4.8951178473240144</v>
      </c>
      <c r="F759">
        <v>8.3328298950096666</v>
      </c>
    </row>
    <row r="760" spans="1:9">
      <c r="A760" s="24">
        <v>3490</v>
      </c>
      <c r="B760">
        <v>23</v>
      </c>
      <c r="C760">
        <v>464</v>
      </c>
      <c r="D760">
        <v>-6.3123422883261601E-2</v>
      </c>
      <c r="E760">
        <v>-7.465653223736729E-2</v>
      </c>
      <c r="F760">
        <v>-9.9231743531604397E-2</v>
      </c>
    </row>
    <row r="761" spans="1:9">
      <c r="A761" s="24">
        <v>3491</v>
      </c>
      <c r="B761">
        <v>112</v>
      </c>
      <c r="C761">
        <v>11183</v>
      </c>
      <c r="D761">
        <v>63.416276245114673</v>
      </c>
      <c r="E761">
        <v>83.21678335588507</v>
      </c>
      <c r="F761">
        <v>130.88233909456864</v>
      </c>
      <c r="I761">
        <v>1</v>
      </c>
    </row>
    <row r="762" spans="1:9">
      <c r="A762" s="24">
        <v>3492</v>
      </c>
      <c r="B762">
        <v>19</v>
      </c>
      <c r="C762">
        <v>33</v>
      </c>
      <c r="D762">
        <v>12.872547632540748</v>
      </c>
      <c r="E762">
        <v>16.672986722867854</v>
      </c>
      <c r="F762">
        <v>25.736434008579721</v>
      </c>
      <c r="I762">
        <v>1</v>
      </c>
    </row>
    <row r="763" spans="1:9">
      <c r="A763" s="24">
        <v>3494</v>
      </c>
      <c r="B763">
        <v>4</v>
      </c>
      <c r="C763">
        <v>90</v>
      </c>
      <c r="D763">
        <v>-1.5512898901819918</v>
      </c>
      <c r="E763">
        <v>-1.8347218576859547</v>
      </c>
      <c r="F763">
        <v>-2.4386700450385366</v>
      </c>
    </row>
    <row r="764" spans="1:9">
      <c r="A764" s="24">
        <v>3498</v>
      </c>
      <c r="B764">
        <v>30</v>
      </c>
      <c r="C764">
        <v>100</v>
      </c>
      <c r="D764">
        <v>-1.9953707783061472</v>
      </c>
      <c r="E764">
        <v>-2.3599395601789386</v>
      </c>
      <c r="F764">
        <v>-3.1367773209877385</v>
      </c>
    </row>
    <row r="765" spans="1:9">
      <c r="A765" s="24">
        <v>3499</v>
      </c>
      <c r="B765">
        <v>17</v>
      </c>
      <c r="C765">
        <v>68</v>
      </c>
      <c r="D765">
        <v>5.3626323462081906</v>
      </c>
      <c r="E765">
        <v>7.2982450403279193</v>
      </c>
      <c r="F765">
        <v>12.059697215009093</v>
      </c>
    </row>
    <row r="766" spans="1:9">
      <c r="A766" s="24">
        <v>3501</v>
      </c>
      <c r="B766">
        <v>54</v>
      </c>
      <c r="C766">
        <v>259</v>
      </c>
      <c r="D766">
        <v>46.019163861612839</v>
      </c>
      <c r="E766">
        <v>59.05460588682061</v>
      </c>
      <c r="F766">
        <v>89.91480995977733</v>
      </c>
      <c r="H766">
        <v>1</v>
      </c>
      <c r="I766">
        <v>1</v>
      </c>
    </row>
    <row r="767" spans="1:9">
      <c r="A767" s="24">
        <v>3504</v>
      </c>
      <c r="B767">
        <v>94</v>
      </c>
      <c r="C767">
        <v>1574</v>
      </c>
      <c r="D767">
        <v>34.126510526672817</v>
      </c>
      <c r="E767">
        <v>47.912263686066076</v>
      </c>
      <c r="F767">
        <v>82.319309012483458</v>
      </c>
    </row>
    <row r="768" spans="1:9">
      <c r="A768" s="24">
        <v>3508</v>
      </c>
      <c r="B768">
        <v>34</v>
      </c>
      <c r="C768">
        <v>425</v>
      </c>
      <c r="D768">
        <v>-5.4587220907771066</v>
      </c>
      <c r="E768">
        <v>-7.8272722517771163</v>
      </c>
      <c r="F768">
        <v>-13.788060243036314</v>
      </c>
    </row>
    <row r="769" spans="1:9">
      <c r="A769" s="24">
        <v>3511</v>
      </c>
      <c r="B769">
        <v>38</v>
      </c>
      <c r="C769">
        <v>851</v>
      </c>
      <c r="D769">
        <v>7.9676375243310886</v>
      </c>
      <c r="E769">
        <v>11.082811004199357</v>
      </c>
      <c r="F769">
        <v>18.82661148060463</v>
      </c>
    </row>
    <row r="770" spans="1:9">
      <c r="A770" s="24">
        <v>3512</v>
      </c>
      <c r="B770">
        <v>29</v>
      </c>
      <c r="C770">
        <v>22</v>
      </c>
      <c r="D770">
        <v>-8.7871495841050002</v>
      </c>
      <c r="E770">
        <v>-12.599910925688548</v>
      </c>
      <c r="F770">
        <v>-22.195258490062308</v>
      </c>
    </row>
    <row r="771" spans="1:9">
      <c r="A771" s="24">
        <v>3515</v>
      </c>
      <c r="B771">
        <v>60</v>
      </c>
      <c r="C771">
        <v>110</v>
      </c>
      <c r="D771">
        <v>50.640169040890171</v>
      </c>
      <c r="E771">
        <v>64.172106988611191</v>
      </c>
      <c r="F771">
        <v>95.858489156401475</v>
      </c>
      <c r="H771">
        <v>1</v>
      </c>
      <c r="I771">
        <v>1</v>
      </c>
    </row>
    <row r="772" spans="1:9">
      <c r="A772" s="24">
        <v>3516</v>
      </c>
      <c r="B772">
        <v>10</v>
      </c>
      <c r="C772">
        <v>11</v>
      </c>
      <c r="D772">
        <v>0</v>
      </c>
      <c r="E772">
        <v>0</v>
      </c>
      <c r="F772">
        <v>0</v>
      </c>
    </row>
    <row r="773" spans="1:9">
      <c r="A773" s="24">
        <v>3518</v>
      </c>
      <c r="B773">
        <v>22</v>
      </c>
      <c r="C773">
        <v>164</v>
      </c>
      <c r="D773">
        <v>5.3163683248461853</v>
      </c>
      <c r="E773">
        <v>6.2877075592623415</v>
      </c>
      <c r="F773">
        <v>8.3574761005327662</v>
      </c>
    </row>
    <row r="774" spans="1:9">
      <c r="A774" s="24">
        <v>3520</v>
      </c>
      <c r="B774">
        <v>16</v>
      </c>
      <c r="C774">
        <v>315</v>
      </c>
      <c r="D774">
        <v>4.2126133782035948</v>
      </c>
      <c r="E774">
        <v>6.0404745386083523</v>
      </c>
      <c r="F774">
        <v>10.640542983023167</v>
      </c>
    </row>
    <row r="775" spans="1:9">
      <c r="A775" s="24">
        <v>3521</v>
      </c>
      <c r="B775">
        <v>25</v>
      </c>
      <c r="C775">
        <v>48</v>
      </c>
      <c r="D775">
        <v>0</v>
      </c>
      <c r="E775">
        <v>0</v>
      </c>
      <c r="F775">
        <v>0</v>
      </c>
    </row>
    <row r="776" spans="1:9">
      <c r="A776" s="24">
        <v>3522</v>
      </c>
      <c r="B776">
        <v>23</v>
      </c>
      <c r="C776">
        <v>25</v>
      </c>
      <c r="D776">
        <v>8.4667520964516534</v>
      </c>
      <c r="E776">
        <v>12.078262084902134</v>
      </c>
      <c r="F776">
        <v>21.149669839668771</v>
      </c>
    </row>
    <row r="777" spans="1:9">
      <c r="A777" s="24">
        <v>3523</v>
      </c>
      <c r="B777">
        <v>10</v>
      </c>
      <c r="C777">
        <v>50</v>
      </c>
      <c r="D777">
        <v>0</v>
      </c>
      <c r="E777">
        <v>0</v>
      </c>
      <c r="F777">
        <v>0</v>
      </c>
    </row>
    <row r="778" spans="1:9">
      <c r="A778" s="24">
        <v>3526</v>
      </c>
      <c r="B778">
        <v>58</v>
      </c>
      <c r="C778">
        <v>62</v>
      </c>
      <c r="D778">
        <v>56.793980149709981</v>
      </c>
      <c r="E778">
        <v>72.325919311050555</v>
      </c>
      <c r="F778">
        <v>108.85753190461085</v>
      </c>
      <c r="H778">
        <v>1</v>
      </c>
      <c r="I778">
        <v>1</v>
      </c>
    </row>
    <row r="779" spans="1:9">
      <c r="A779" s="24">
        <v>3527</v>
      </c>
      <c r="B779">
        <v>131</v>
      </c>
      <c r="C779">
        <v>1384</v>
      </c>
      <c r="D779">
        <v>64.282468007787784</v>
      </c>
      <c r="E779">
        <v>83.747291201600746</v>
      </c>
      <c r="F779">
        <v>130.36838796551052</v>
      </c>
    </row>
    <row r="780" spans="1:9">
      <c r="A780" s="24">
        <v>3528</v>
      </c>
      <c r="B780">
        <v>40</v>
      </c>
      <c r="C780">
        <v>51</v>
      </c>
      <c r="D780">
        <v>26.332300438114324</v>
      </c>
      <c r="E780">
        <v>33.972280470905403</v>
      </c>
      <c r="F780">
        <v>52.137055604140087</v>
      </c>
      <c r="I780">
        <v>1</v>
      </c>
    </row>
    <row r="781" spans="1:9">
      <c r="A781" s="24">
        <v>3529</v>
      </c>
      <c r="B781">
        <v>386</v>
      </c>
      <c r="C781">
        <v>85</v>
      </c>
      <c r="D781">
        <v>131.31015143477703</v>
      </c>
      <c r="E781">
        <v>176.63816565772103</v>
      </c>
      <c r="F781">
        <v>287.44395852324146</v>
      </c>
    </row>
    <row r="782" spans="1:9">
      <c r="A782" s="24">
        <v>3530</v>
      </c>
      <c r="B782">
        <v>76</v>
      </c>
      <c r="C782">
        <v>153</v>
      </c>
      <c r="D782">
        <v>26.298970258007799</v>
      </c>
      <c r="E782">
        <v>36.200666330574613</v>
      </c>
      <c r="F782">
        <v>60.69609130247985</v>
      </c>
    </row>
    <row r="783" spans="1:9">
      <c r="A783" s="24">
        <v>3531</v>
      </c>
      <c r="B783">
        <v>24</v>
      </c>
      <c r="C783">
        <v>49</v>
      </c>
      <c r="D783">
        <v>21.328931102554062</v>
      </c>
      <c r="E783">
        <v>26.989525573336017</v>
      </c>
      <c r="F783">
        <v>40.226661437596867</v>
      </c>
      <c r="H783">
        <v>1</v>
      </c>
      <c r="I783">
        <v>1</v>
      </c>
    </row>
    <row r="784" spans="1:9">
      <c r="A784" s="24">
        <v>3532</v>
      </c>
      <c r="B784">
        <v>115</v>
      </c>
      <c r="C784">
        <v>631</v>
      </c>
      <c r="D784">
        <v>101.10453444418761</v>
      </c>
      <c r="E784">
        <v>128.08809549983798</v>
      </c>
      <c r="F784">
        <v>191.2576045044184</v>
      </c>
      <c r="H784">
        <v>1</v>
      </c>
      <c r="I784">
        <v>1</v>
      </c>
    </row>
    <row r="785" spans="1:9">
      <c r="A785" s="24">
        <v>3533</v>
      </c>
      <c r="B785">
        <v>231</v>
      </c>
      <c r="C785">
        <v>1128</v>
      </c>
      <c r="D785">
        <v>149.38864102796626</v>
      </c>
      <c r="E785">
        <v>198.99817909432139</v>
      </c>
      <c r="F785">
        <v>319.57926739391888</v>
      </c>
      <c r="I785">
        <v>1</v>
      </c>
    </row>
    <row r="786" spans="1:9">
      <c r="A786" s="24">
        <v>3535</v>
      </c>
      <c r="B786">
        <v>26</v>
      </c>
      <c r="C786">
        <v>1330</v>
      </c>
      <c r="D786">
        <v>2.7838598897918865</v>
      </c>
      <c r="E786">
        <v>3.9917821251642609</v>
      </c>
      <c r="F786">
        <v>7.0316874957740518</v>
      </c>
    </row>
    <row r="787" spans="1:9">
      <c r="A787" s="24">
        <v>3536</v>
      </c>
      <c r="B787">
        <v>7</v>
      </c>
      <c r="C787">
        <v>37</v>
      </c>
      <c r="D787">
        <v>0</v>
      </c>
      <c r="E787">
        <v>0</v>
      </c>
      <c r="F787">
        <v>0</v>
      </c>
    </row>
    <row r="788" spans="1:9">
      <c r="A788" s="24">
        <v>3537</v>
      </c>
      <c r="B788">
        <v>32</v>
      </c>
      <c r="C788">
        <v>166</v>
      </c>
      <c r="D788">
        <v>26.795504104839665</v>
      </c>
      <c r="E788">
        <v>34.142085539390081</v>
      </c>
      <c r="F788">
        <v>51.429751640602532</v>
      </c>
      <c r="H788">
        <v>1</v>
      </c>
      <c r="I788">
        <v>1</v>
      </c>
    </row>
    <row r="789" spans="1:9">
      <c r="A789" s="24">
        <v>3540</v>
      </c>
      <c r="B789">
        <v>32</v>
      </c>
      <c r="C789">
        <v>2959</v>
      </c>
      <c r="D789">
        <v>18.608493626815665</v>
      </c>
      <c r="E789">
        <v>23.775920485581089</v>
      </c>
      <c r="F789">
        <v>35.964778160307539</v>
      </c>
      <c r="I789">
        <v>1</v>
      </c>
    </row>
    <row r="790" spans="1:9">
      <c r="A790" s="24">
        <v>3541</v>
      </c>
      <c r="B790">
        <v>83</v>
      </c>
      <c r="C790">
        <v>142</v>
      </c>
      <c r="D790">
        <v>46.733169683394436</v>
      </c>
      <c r="E790">
        <v>60.888186020592485</v>
      </c>
      <c r="F790">
        <v>94.79318625475895</v>
      </c>
      <c r="I790">
        <v>1</v>
      </c>
    </row>
    <row r="791" spans="1:9">
      <c r="A791" s="24">
        <v>3545</v>
      </c>
      <c r="B791">
        <v>24</v>
      </c>
      <c r="C791">
        <v>2684</v>
      </c>
      <c r="D791">
        <v>-3.6719882817162723</v>
      </c>
      <c r="E791">
        <v>-4.3428872993178373</v>
      </c>
      <c r="F791">
        <v>-5.7724657944515192</v>
      </c>
    </row>
    <row r="792" spans="1:9">
      <c r="A792" s="24">
        <v>3546</v>
      </c>
      <c r="B792">
        <v>66</v>
      </c>
      <c r="C792">
        <v>126</v>
      </c>
      <c r="D792">
        <v>55.04826209245298</v>
      </c>
      <c r="E792">
        <v>69.969566369511369</v>
      </c>
      <c r="F792">
        <v>105.0056347654174</v>
      </c>
      <c r="H792">
        <v>1</v>
      </c>
      <c r="I792">
        <v>1</v>
      </c>
    </row>
    <row r="793" spans="1:9">
      <c r="A793" s="24">
        <v>3548</v>
      </c>
      <c r="B793">
        <v>69</v>
      </c>
      <c r="C793">
        <v>788</v>
      </c>
      <c r="D793">
        <v>50.794264917836287</v>
      </c>
      <c r="E793">
        <v>66.270931944990338</v>
      </c>
      <c r="F793">
        <v>103.37845056717288</v>
      </c>
      <c r="I793">
        <v>1</v>
      </c>
    </row>
    <row r="794" spans="1:9">
      <c r="A794" s="24">
        <v>3550</v>
      </c>
      <c r="B794">
        <v>15</v>
      </c>
      <c r="C794">
        <v>70</v>
      </c>
      <c r="D794">
        <v>22.065337496582533</v>
      </c>
      <c r="E794">
        <v>28.094809014561729</v>
      </c>
      <c r="F794">
        <v>42.274123527530868</v>
      </c>
      <c r="G794">
        <v>1</v>
      </c>
      <c r="H794">
        <v>1</v>
      </c>
      <c r="I794">
        <v>1</v>
      </c>
    </row>
    <row r="795" spans="1:9">
      <c r="A795" s="24">
        <v>3551</v>
      </c>
      <c r="B795">
        <v>44</v>
      </c>
      <c r="C795">
        <v>65</v>
      </c>
      <c r="D795">
        <v>24.362908684290552</v>
      </c>
      <c r="E795">
        <v>32.129345772109758</v>
      </c>
      <c r="F795">
        <v>50.887643393093171</v>
      </c>
      <c r="I795">
        <v>1</v>
      </c>
    </row>
    <row r="796" spans="1:9">
      <c r="A796" s="24">
        <v>3552</v>
      </c>
      <c r="B796">
        <v>68</v>
      </c>
      <c r="C796">
        <v>7140</v>
      </c>
      <c r="D796">
        <v>-195.03909652414325</v>
      </c>
      <c r="E796">
        <v>-277.78687068457242</v>
      </c>
      <c r="F796">
        <v>-485.50565414839696</v>
      </c>
    </row>
    <row r="797" spans="1:9">
      <c r="A797" s="24">
        <v>3555</v>
      </c>
      <c r="B797">
        <v>32</v>
      </c>
      <c r="C797">
        <v>346</v>
      </c>
      <c r="D797">
        <v>-4.4763397837609222</v>
      </c>
      <c r="E797">
        <v>-6.3301859740370734</v>
      </c>
      <c r="F797">
        <v>-10.97083019262938</v>
      </c>
    </row>
    <row r="798" spans="1:9">
      <c r="A798" s="24">
        <v>3556</v>
      </c>
      <c r="B798">
        <v>51</v>
      </c>
      <c r="C798">
        <v>694</v>
      </c>
      <c r="D798">
        <v>36.209453201946147</v>
      </c>
      <c r="E798">
        <v>46.258738734687427</v>
      </c>
      <c r="F798">
        <v>69.960323476558017</v>
      </c>
      <c r="I798">
        <v>1</v>
      </c>
    </row>
    <row r="799" spans="1:9">
      <c r="A799" s="24">
        <v>3557</v>
      </c>
      <c r="B799">
        <v>25</v>
      </c>
      <c r="C799">
        <v>80</v>
      </c>
      <c r="D799">
        <v>0</v>
      </c>
      <c r="E799">
        <v>0</v>
      </c>
      <c r="F799">
        <v>0</v>
      </c>
    </row>
    <row r="800" spans="1:9">
      <c r="A800" s="24">
        <v>3558</v>
      </c>
      <c r="B800">
        <v>101</v>
      </c>
      <c r="C800">
        <v>387</v>
      </c>
      <c r="D800">
        <v>81.841756927187106</v>
      </c>
      <c r="E800">
        <v>105.70432442473742</v>
      </c>
      <c r="F800">
        <v>162.48903171601097</v>
      </c>
      <c r="H800">
        <v>1</v>
      </c>
      <c r="I800">
        <v>1</v>
      </c>
    </row>
    <row r="801" spans="1:9">
      <c r="A801" s="24">
        <v>3562</v>
      </c>
      <c r="B801">
        <v>7</v>
      </c>
      <c r="C801">
        <v>13</v>
      </c>
      <c r="D801">
        <v>0</v>
      </c>
      <c r="E801">
        <v>0</v>
      </c>
      <c r="F801">
        <v>0</v>
      </c>
    </row>
    <row r="802" spans="1:9">
      <c r="A802" s="24">
        <v>3563</v>
      </c>
      <c r="B802">
        <v>384</v>
      </c>
      <c r="C802">
        <v>1366</v>
      </c>
      <c r="D802">
        <v>332.74085629350424</v>
      </c>
      <c r="E802">
        <v>426.54229873542772</v>
      </c>
      <c r="F802">
        <v>648.41463120420974</v>
      </c>
      <c r="H802">
        <v>1</v>
      </c>
      <c r="I802">
        <v>1</v>
      </c>
    </row>
    <row r="803" spans="1:9">
      <c r="A803" s="24">
        <v>3564</v>
      </c>
      <c r="B803">
        <v>39</v>
      </c>
      <c r="C803">
        <v>23</v>
      </c>
      <c r="D803">
        <v>-1.8660770657469028</v>
      </c>
      <c r="E803">
        <v>-2.2070229441453093</v>
      </c>
      <c r="F803">
        <v>-2.9335240761715413</v>
      </c>
    </row>
    <row r="804" spans="1:9">
      <c r="A804" s="24">
        <v>3567</v>
      </c>
      <c r="B804">
        <v>24</v>
      </c>
      <c r="C804">
        <v>94</v>
      </c>
      <c r="D804">
        <v>27.8943425186336</v>
      </c>
      <c r="E804">
        <v>35.82747130083051</v>
      </c>
      <c r="F804">
        <v>54.622065746878448</v>
      </c>
      <c r="G804">
        <v>1</v>
      </c>
      <c r="H804">
        <v>1</v>
      </c>
      <c r="I804">
        <v>1</v>
      </c>
    </row>
    <row r="805" spans="1:9">
      <c r="A805" s="24">
        <v>3570</v>
      </c>
      <c r="B805">
        <v>93</v>
      </c>
      <c r="C805">
        <v>71</v>
      </c>
      <c r="D805">
        <v>36.478374680947127</v>
      </c>
      <c r="E805">
        <v>47.616480370406535</v>
      </c>
      <c r="F805">
        <v>74.33102691518846</v>
      </c>
    </row>
    <row r="806" spans="1:9">
      <c r="A806" s="24">
        <v>3576</v>
      </c>
      <c r="B806">
        <v>9</v>
      </c>
      <c r="C806">
        <v>5945</v>
      </c>
      <c r="D806">
        <v>-0.15945064558569103</v>
      </c>
      <c r="E806">
        <v>-0.18858344048376616</v>
      </c>
      <c r="F806">
        <v>-0.25066076657423625</v>
      </c>
    </row>
    <row r="807" spans="1:9">
      <c r="A807" s="24">
        <v>3577</v>
      </c>
      <c r="B807">
        <v>35</v>
      </c>
      <c r="C807">
        <v>11</v>
      </c>
      <c r="D807">
        <v>19.723651532749905</v>
      </c>
      <c r="E807">
        <v>25.946871735856774</v>
      </c>
      <c r="F807">
        <v>40.953270414093069</v>
      </c>
      <c r="I807">
        <v>1</v>
      </c>
    </row>
    <row r="808" spans="1:9">
      <c r="A808" s="24">
        <v>3580</v>
      </c>
      <c r="B808">
        <v>31</v>
      </c>
      <c r="C808">
        <v>176</v>
      </c>
      <c r="D808">
        <v>11.424816437739953</v>
      </c>
      <c r="E808">
        <v>15.2474906946223</v>
      </c>
      <c r="F808">
        <v>24.549408902074028</v>
      </c>
    </row>
    <row r="809" spans="1:9">
      <c r="A809" s="24">
        <v>3581</v>
      </c>
      <c r="B809">
        <v>15</v>
      </c>
      <c r="C809">
        <v>13</v>
      </c>
      <c r="D809">
        <v>14.121145212483793</v>
      </c>
      <c r="E809">
        <v>18.641435672942919</v>
      </c>
      <c r="F809">
        <v>29.566461911129394</v>
      </c>
      <c r="H809">
        <v>1</v>
      </c>
      <c r="I809">
        <v>1</v>
      </c>
    </row>
    <row r="810" spans="1:9">
      <c r="A810" s="24">
        <v>3583</v>
      </c>
      <c r="B810">
        <v>65</v>
      </c>
      <c r="C810">
        <v>236</v>
      </c>
      <c r="D810">
        <v>39.735445242245888</v>
      </c>
      <c r="E810">
        <v>51.490841164448383</v>
      </c>
      <c r="F810">
        <v>79.535528626772972</v>
      </c>
      <c r="I810">
        <v>1</v>
      </c>
    </row>
    <row r="811" spans="1:9">
      <c r="A811" s="24">
        <v>3587</v>
      </c>
      <c r="B811">
        <v>77</v>
      </c>
      <c r="C811">
        <v>118</v>
      </c>
      <c r="D811">
        <v>43.569746083909678</v>
      </c>
      <c r="E811">
        <v>57.072782856123851</v>
      </c>
      <c r="F811">
        <v>89.53920502871749</v>
      </c>
      <c r="I811">
        <v>1</v>
      </c>
    </row>
    <row r="812" spans="1:9">
      <c r="A812" s="24">
        <v>3588</v>
      </c>
      <c r="B812">
        <v>24</v>
      </c>
      <c r="C812">
        <v>113</v>
      </c>
      <c r="D812">
        <v>9.6046693075971223</v>
      </c>
      <c r="E812">
        <v>12.860212523950231</v>
      </c>
      <c r="F812">
        <v>20.797340154301892</v>
      </c>
    </row>
    <row r="813" spans="1:9">
      <c r="A813" s="24">
        <v>3591</v>
      </c>
      <c r="B813">
        <v>14</v>
      </c>
      <c r="C813">
        <v>208</v>
      </c>
      <c r="D813">
        <v>5.5329431064749626</v>
      </c>
      <c r="E813">
        <v>7.959700063814255</v>
      </c>
      <c r="F813">
        <v>14.074270143710208</v>
      </c>
      <c r="I813">
        <v>1</v>
      </c>
    </row>
    <row r="814" spans="1:9">
      <c r="A814" s="24">
        <v>3593</v>
      </c>
      <c r="B814">
        <v>7</v>
      </c>
      <c r="C814">
        <v>3</v>
      </c>
      <c r="D814">
        <v>0</v>
      </c>
      <c r="E814">
        <v>0</v>
      </c>
      <c r="F814">
        <v>0</v>
      </c>
    </row>
    <row r="815" spans="1:9">
      <c r="A815" s="24">
        <v>3594</v>
      </c>
      <c r="B815">
        <v>24</v>
      </c>
      <c r="C815">
        <v>122</v>
      </c>
      <c r="D815">
        <v>3.2839484915013202</v>
      </c>
      <c r="E815">
        <v>4.3945430555092289</v>
      </c>
      <c r="F815">
        <v>7.1013082970435306</v>
      </c>
    </row>
    <row r="816" spans="1:9">
      <c r="A816" s="24">
        <v>3596</v>
      </c>
      <c r="B816">
        <v>110</v>
      </c>
      <c r="C816">
        <v>7985</v>
      </c>
      <c r="D816">
        <v>44.90584029632749</v>
      </c>
      <c r="E816">
        <v>59.641851817099749</v>
      </c>
      <c r="F816">
        <v>95.394535311441032</v>
      </c>
    </row>
    <row r="817" spans="1:9">
      <c r="A817" s="24">
        <v>3605</v>
      </c>
      <c r="B817">
        <v>23</v>
      </c>
      <c r="C817">
        <v>473</v>
      </c>
      <c r="D817">
        <v>9.6418705332972365</v>
      </c>
      <c r="E817">
        <v>12.646694092151394</v>
      </c>
      <c r="F817">
        <v>19.877965885062792</v>
      </c>
    </row>
    <row r="818" spans="1:9">
      <c r="A818" s="24">
        <v>3607</v>
      </c>
      <c r="B818">
        <v>20</v>
      </c>
      <c r="C818">
        <v>349</v>
      </c>
      <c r="D818">
        <v>-3.5059636201431017</v>
      </c>
      <c r="E818">
        <v>-4.1465287222194762</v>
      </c>
      <c r="F818">
        <v>-5.511470495327476</v>
      </c>
    </row>
    <row r="819" spans="1:9">
      <c r="A819" s="24">
        <v>3609</v>
      </c>
      <c r="B819">
        <v>17</v>
      </c>
      <c r="C819">
        <v>13</v>
      </c>
      <c r="D819">
        <v>5.6706964326691063</v>
      </c>
      <c r="E819">
        <v>7.8907583279051066</v>
      </c>
      <c r="F819">
        <v>13.410377424518028</v>
      </c>
    </row>
    <row r="820" spans="1:9">
      <c r="A820" s="24">
        <v>3611</v>
      </c>
      <c r="B820">
        <v>258</v>
      </c>
      <c r="C820">
        <v>153</v>
      </c>
      <c r="D820">
        <v>163.7746914919056</v>
      </c>
      <c r="E820">
        <v>214.16565025192781</v>
      </c>
      <c r="F820">
        <v>335.18094627171979</v>
      </c>
      <c r="I820">
        <v>1</v>
      </c>
    </row>
    <row r="821" spans="1:9">
      <c r="A821" s="24">
        <v>3615</v>
      </c>
      <c r="B821">
        <v>14</v>
      </c>
      <c r="C821">
        <v>24</v>
      </c>
      <c r="D821">
        <v>3.0740425959590252</v>
      </c>
      <c r="E821">
        <v>4.1642570139997455</v>
      </c>
      <c r="F821">
        <v>6.8395716556593449</v>
      </c>
    </row>
    <row r="822" spans="1:9">
      <c r="A822" s="24">
        <v>3617</v>
      </c>
      <c r="B822">
        <v>92</v>
      </c>
      <c r="C822">
        <v>50</v>
      </c>
      <c r="D822">
        <v>66.701894837026401</v>
      </c>
      <c r="E822">
        <v>86.427467342340037</v>
      </c>
      <c r="F822">
        <v>133.48336014204861</v>
      </c>
      <c r="I822">
        <v>1</v>
      </c>
    </row>
    <row r="823" spans="1:9">
      <c r="A823" s="24">
        <v>3622</v>
      </c>
      <c r="B823">
        <v>18</v>
      </c>
      <c r="C823">
        <v>178</v>
      </c>
      <c r="D823">
        <v>-2.611261396679625</v>
      </c>
      <c r="E823">
        <v>-1.9596261514196636</v>
      </c>
      <c r="F823">
        <v>0.18110558577362568</v>
      </c>
    </row>
    <row r="824" spans="1:9">
      <c r="A824" s="24">
        <v>3623</v>
      </c>
      <c r="B824">
        <v>28</v>
      </c>
      <c r="C824">
        <v>54</v>
      </c>
      <c r="D824">
        <v>23.856002896187434</v>
      </c>
      <c r="E824">
        <v>29.990644969097055</v>
      </c>
      <c r="F824">
        <v>44.246119431111822</v>
      </c>
      <c r="H824">
        <v>1</v>
      </c>
      <c r="I824">
        <v>1</v>
      </c>
    </row>
    <row r="825" spans="1:9">
      <c r="A825" s="24">
        <v>3624</v>
      </c>
      <c r="B825">
        <v>25</v>
      </c>
      <c r="C825">
        <v>184</v>
      </c>
      <c r="D825">
        <v>22.749982512151231</v>
      </c>
      <c r="E825">
        <v>29.021708779955411</v>
      </c>
      <c r="F825">
        <v>43.795309747568822</v>
      </c>
      <c r="H825">
        <v>1</v>
      </c>
      <c r="I825">
        <v>1</v>
      </c>
    </row>
    <row r="826" spans="1:9">
      <c r="A826" s="24">
        <v>3625</v>
      </c>
      <c r="B826">
        <v>20</v>
      </c>
      <c r="C826">
        <v>600</v>
      </c>
      <c r="D826">
        <v>9.3430030170244613</v>
      </c>
      <c r="E826">
        <v>12.826014252803208</v>
      </c>
      <c r="F826">
        <v>21.431287533502715</v>
      </c>
      <c r="I826">
        <v>1</v>
      </c>
    </row>
    <row r="827" spans="1:9">
      <c r="A827" s="24">
        <v>3628</v>
      </c>
      <c r="B827">
        <v>34</v>
      </c>
      <c r="C827">
        <v>5</v>
      </c>
      <c r="D827">
        <v>25.786226565070486</v>
      </c>
      <c r="E827">
        <v>33.191122426651646</v>
      </c>
      <c r="F827">
        <v>50.764796815948102</v>
      </c>
      <c r="I827">
        <v>1</v>
      </c>
    </row>
    <row r="828" spans="1:9">
      <c r="A828" s="24">
        <v>3629</v>
      </c>
      <c r="B828">
        <v>26</v>
      </c>
      <c r="C828">
        <v>0</v>
      </c>
      <c r="D828">
        <v>0</v>
      </c>
      <c r="E828">
        <v>0</v>
      </c>
      <c r="F828">
        <v>0</v>
      </c>
    </row>
    <row r="829" spans="1:9">
      <c r="A829" s="24">
        <v>3630</v>
      </c>
      <c r="B829">
        <v>106</v>
      </c>
      <c r="C829">
        <v>1714</v>
      </c>
      <c r="D829">
        <v>0</v>
      </c>
      <c r="E829">
        <v>0</v>
      </c>
      <c r="F829">
        <v>0</v>
      </c>
    </row>
    <row r="830" spans="1:9">
      <c r="A830" s="24">
        <v>3631</v>
      </c>
      <c r="B830">
        <v>24</v>
      </c>
      <c r="C830">
        <v>5</v>
      </c>
      <c r="D830">
        <v>3.6528955167639565</v>
      </c>
      <c r="E830">
        <v>5.2378940055065426</v>
      </c>
      <c r="F830">
        <v>9.2267645447193889</v>
      </c>
    </row>
    <row r="831" spans="1:9">
      <c r="A831" s="24">
        <v>3632</v>
      </c>
      <c r="B831">
        <v>11</v>
      </c>
      <c r="C831">
        <v>63</v>
      </c>
      <c r="D831">
        <v>0</v>
      </c>
      <c r="E831">
        <v>0</v>
      </c>
      <c r="F831">
        <v>0</v>
      </c>
    </row>
    <row r="832" spans="1:9">
      <c r="A832" s="24">
        <v>3642</v>
      </c>
      <c r="B832">
        <v>12</v>
      </c>
      <c r="C832">
        <v>183</v>
      </c>
      <c r="D832">
        <v>-2.9160488843468881</v>
      </c>
      <c r="E832">
        <v>-3.4488322653635795</v>
      </c>
      <c r="F832">
        <v>-4.5841084307527655</v>
      </c>
    </row>
    <row r="833" spans="1:9">
      <c r="A833" s="24">
        <v>3645</v>
      </c>
      <c r="B833">
        <v>50</v>
      </c>
      <c r="C833">
        <v>669</v>
      </c>
      <c r="D833">
        <v>28.711782292431781</v>
      </c>
      <c r="E833">
        <v>37.620585677546224</v>
      </c>
      <c r="F833">
        <v>59.044858455464023</v>
      </c>
      <c r="I833">
        <v>1</v>
      </c>
    </row>
    <row r="834" spans="1:9">
      <c r="A834" s="24">
        <v>3646</v>
      </c>
      <c r="B834">
        <v>18</v>
      </c>
      <c r="C834">
        <v>16</v>
      </c>
      <c r="D834">
        <v>19.957289179524103</v>
      </c>
      <c r="E834">
        <v>24.763565997169696</v>
      </c>
      <c r="F834">
        <v>35.777968408731994</v>
      </c>
      <c r="G834">
        <v>1</v>
      </c>
      <c r="H834">
        <v>1</v>
      </c>
      <c r="I834">
        <v>1</v>
      </c>
    </row>
    <row r="835" spans="1:9">
      <c r="A835" s="24">
        <v>3652</v>
      </c>
      <c r="B835">
        <v>16</v>
      </c>
      <c r="C835">
        <v>17</v>
      </c>
      <c r="D835">
        <v>0.51225521730036427</v>
      </c>
      <c r="E835">
        <v>0.6990867446699045</v>
      </c>
      <c r="F835">
        <v>1.1593303516425744</v>
      </c>
    </row>
    <row r="836" spans="1:9">
      <c r="A836" s="24">
        <v>3653</v>
      </c>
      <c r="B836">
        <v>136</v>
      </c>
      <c r="C836">
        <v>2530</v>
      </c>
      <c r="D836">
        <v>54.653109149511749</v>
      </c>
      <c r="E836">
        <v>71.820852090691361</v>
      </c>
      <c r="F836">
        <v>113.18889062984807</v>
      </c>
    </row>
    <row r="837" spans="1:9">
      <c r="A837" s="24">
        <v>3661</v>
      </c>
      <c r="B837">
        <v>104</v>
      </c>
      <c r="C837">
        <v>3093</v>
      </c>
      <c r="D837">
        <v>22.353842031449066</v>
      </c>
      <c r="E837">
        <v>30.569663864594311</v>
      </c>
      <c r="F837">
        <v>50.829625125991953</v>
      </c>
    </row>
    <row r="838" spans="1:9">
      <c r="A838" s="24">
        <v>3663</v>
      </c>
      <c r="B838">
        <v>17</v>
      </c>
      <c r="C838">
        <v>38</v>
      </c>
      <c r="D838">
        <v>7.4341737479731398</v>
      </c>
      <c r="E838">
        <v>9.8284377578538287</v>
      </c>
      <c r="F838">
        <v>15.620625909325309</v>
      </c>
    </row>
    <row r="839" spans="1:9">
      <c r="A839" s="24">
        <v>3664</v>
      </c>
      <c r="B839">
        <v>11</v>
      </c>
      <c r="C839">
        <v>38</v>
      </c>
      <c r="D839">
        <v>0</v>
      </c>
      <c r="E839">
        <v>0</v>
      </c>
      <c r="F839">
        <v>0</v>
      </c>
    </row>
    <row r="840" spans="1:9">
      <c r="A840" s="24">
        <v>3665</v>
      </c>
      <c r="B840">
        <v>244</v>
      </c>
      <c r="C840">
        <v>2137</v>
      </c>
      <c r="D840">
        <v>125.67546483842074</v>
      </c>
      <c r="E840">
        <v>165.82356067766312</v>
      </c>
      <c r="F840">
        <v>262.82588298691815</v>
      </c>
      <c r="I840">
        <v>1</v>
      </c>
    </row>
    <row r="841" spans="1:9">
      <c r="A841" s="24">
        <v>3666</v>
      </c>
      <c r="B841">
        <v>17</v>
      </c>
      <c r="C841">
        <v>142</v>
      </c>
      <c r="D841">
        <v>-9.1907439890110272</v>
      </c>
      <c r="E841">
        <v>-10.869959890640486</v>
      </c>
      <c r="F841">
        <v>-14.448100383732754</v>
      </c>
    </row>
    <row r="842" spans="1:9">
      <c r="A842" s="24">
        <v>3669</v>
      </c>
      <c r="B842">
        <v>17</v>
      </c>
      <c r="C842">
        <v>12</v>
      </c>
      <c r="D842">
        <v>11.093079052781816</v>
      </c>
      <c r="E842">
        <v>15.163060619827522</v>
      </c>
      <c r="F842">
        <v>25.197151739337151</v>
      </c>
      <c r="I842">
        <v>1</v>
      </c>
    </row>
    <row r="843" spans="1:9">
      <c r="A843" s="24">
        <v>3672</v>
      </c>
      <c r="B843">
        <v>17</v>
      </c>
      <c r="C843">
        <v>11</v>
      </c>
      <c r="D843">
        <v>19.390752307260144</v>
      </c>
      <c r="E843">
        <v>26.707534121087576</v>
      </c>
      <c r="F843">
        <v>44.813434417655685</v>
      </c>
      <c r="G843">
        <v>1</v>
      </c>
      <c r="H843">
        <v>1</v>
      </c>
      <c r="I843">
        <v>1</v>
      </c>
    </row>
    <row r="844" spans="1:9">
      <c r="A844" s="24">
        <v>3673</v>
      </c>
      <c r="B844">
        <v>56</v>
      </c>
      <c r="C844">
        <v>5786</v>
      </c>
      <c r="D844">
        <v>17.868411783738061</v>
      </c>
      <c r="E844">
        <v>25.152872027836352</v>
      </c>
      <c r="F844">
        <v>43.353718578748939</v>
      </c>
    </row>
    <row r="845" spans="1:9">
      <c r="A845" s="24">
        <v>3675</v>
      </c>
      <c r="B845">
        <v>41</v>
      </c>
      <c r="C845">
        <v>13</v>
      </c>
      <c r="D845">
        <v>29.479022183326553</v>
      </c>
      <c r="E845">
        <v>38.944250379773635</v>
      </c>
      <c r="F845">
        <v>61.831566082059069</v>
      </c>
      <c r="I845">
        <v>1</v>
      </c>
    </row>
    <row r="846" spans="1:9">
      <c r="A846" s="24">
        <v>3679</v>
      </c>
      <c r="B846">
        <v>45</v>
      </c>
      <c r="C846">
        <v>21</v>
      </c>
      <c r="D846">
        <v>61.501659764397303</v>
      </c>
      <c r="E846">
        <v>77.844393616607704</v>
      </c>
      <c r="F846">
        <v>116.07080407931832</v>
      </c>
      <c r="G846">
        <v>1</v>
      </c>
      <c r="H846">
        <v>1</v>
      </c>
      <c r="I846">
        <v>1</v>
      </c>
    </row>
    <row r="847" spans="1:9">
      <c r="A847" s="24">
        <v>3680</v>
      </c>
      <c r="B847">
        <v>60</v>
      </c>
      <c r="C847">
        <v>601</v>
      </c>
      <c r="D847">
        <v>5.6995937687485521</v>
      </c>
      <c r="E847">
        <v>7.6849671645678086</v>
      </c>
      <c r="F847">
        <v>12.544584695069783</v>
      </c>
    </row>
    <row r="848" spans="1:9">
      <c r="A848" s="24">
        <v>3682</v>
      </c>
      <c r="B848">
        <v>7</v>
      </c>
      <c r="C848">
        <v>2309</v>
      </c>
      <c r="D848">
        <v>0</v>
      </c>
      <c r="E848">
        <v>0</v>
      </c>
      <c r="F848">
        <v>0</v>
      </c>
    </row>
    <row r="849" spans="1:9">
      <c r="A849" s="24">
        <v>3684</v>
      </c>
      <c r="B849">
        <v>33</v>
      </c>
      <c r="C849">
        <v>5</v>
      </c>
      <c r="D849">
        <v>24.443966366170251</v>
      </c>
      <c r="E849">
        <v>31.618421312255116</v>
      </c>
      <c r="F849">
        <v>48.710925748777576</v>
      </c>
      <c r="I849">
        <v>1</v>
      </c>
    </row>
    <row r="850" spans="1:9">
      <c r="A850" s="24">
        <v>3685</v>
      </c>
      <c r="B850">
        <v>34</v>
      </c>
      <c r="C850">
        <v>613</v>
      </c>
      <c r="D850">
        <v>14.407045905908053</v>
      </c>
      <c r="E850">
        <v>19.888280482402564</v>
      </c>
      <c r="F850">
        <v>33.466499542809444</v>
      </c>
    </row>
    <row r="851" spans="1:9">
      <c r="A851" s="24">
        <v>3686</v>
      </c>
      <c r="B851">
        <v>2</v>
      </c>
      <c r="C851">
        <v>443</v>
      </c>
      <c r="D851">
        <v>0</v>
      </c>
      <c r="E851">
        <v>0</v>
      </c>
      <c r="F851">
        <v>0</v>
      </c>
    </row>
    <row r="852" spans="1:9">
      <c r="A852" s="24">
        <v>3687</v>
      </c>
      <c r="B852">
        <v>26</v>
      </c>
      <c r="C852">
        <v>114</v>
      </c>
      <c r="D852">
        <v>0</v>
      </c>
      <c r="E852">
        <v>0</v>
      </c>
      <c r="F852">
        <v>0</v>
      </c>
    </row>
    <row r="853" spans="1:9">
      <c r="A853" s="24">
        <v>3689</v>
      </c>
      <c r="B853">
        <v>27</v>
      </c>
      <c r="C853">
        <v>109</v>
      </c>
      <c r="D853">
        <v>9.9871228898234108</v>
      </c>
      <c r="E853">
        <v>13.093083209429413</v>
      </c>
      <c r="F853">
        <v>20.565222693597736</v>
      </c>
    </row>
    <row r="854" spans="1:9">
      <c r="A854" s="24">
        <v>3691</v>
      </c>
      <c r="B854">
        <v>134</v>
      </c>
      <c r="C854">
        <v>3405</v>
      </c>
      <c r="D854">
        <v>-5.3749717456946176</v>
      </c>
      <c r="E854">
        <v>-6.3570182521549352</v>
      </c>
      <c r="F854">
        <v>-8.4496022775061075</v>
      </c>
    </row>
    <row r="855" spans="1:9">
      <c r="A855" s="24">
        <v>3693</v>
      </c>
      <c r="B855">
        <v>44</v>
      </c>
      <c r="C855">
        <v>67</v>
      </c>
      <c r="D855">
        <v>-12.927063814365118</v>
      </c>
      <c r="E855">
        <v>-18.241493506979239</v>
      </c>
      <c r="F855">
        <v>-31.533317491824967</v>
      </c>
    </row>
    <row r="856" spans="1:9">
      <c r="A856" s="24">
        <v>3694</v>
      </c>
      <c r="B856">
        <v>21</v>
      </c>
      <c r="C856">
        <v>102</v>
      </c>
      <c r="D856">
        <v>0</v>
      </c>
      <c r="E856">
        <v>0</v>
      </c>
      <c r="F856">
        <v>0</v>
      </c>
    </row>
    <row r="857" spans="1:9">
      <c r="A857" s="24">
        <v>3698</v>
      </c>
      <c r="B857">
        <v>16</v>
      </c>
      <c r="C857">
        <v>1878</v>
      </c>
      <c r="D857">
        <v>2.8841063410396202</v>
      </c>
      <c r="E857">
        <v>3.8819564465206629</v>
      </c>
      <c r="F857">
        <v>6.3220311012053356</v>
      </c>
    </row>
    <row r="858" spans="1:9">
      <c r="A858" s="24">
        <v>3701</v>
      </c>
      <c r="B858">
        <v>14</v>
      </c>
      <c r="C858">
        <v>11</v>
      </c>
      <c r="D858">
        <v>8.2856849072948133</v>
      </c>
      <c r="E858">
        <v>11.880859747634535</v>
      </c>
      <c r="F858">
        <v>20.92862042741104</v>
      </c>
      <c r="I858">
        <v>1</v>
      </c>
    </row>
    <row r="859" spans="1:9">
      <c r="A859" s="24">
        <v>3702</v>
      </c>
      <c r="B859">
        <v>41</v>
      </c>
      <c r="C859">
        <v>1181</v>
      </c>
      <c r="D859">
        <v>33.0640306366369</v>
      </c>
      <c r="E859">
        <v>42.347284220038667</v>
      </c>
      <c r="F859">
        <v>64.289065766300268</v>
      </c>
      <c r="H859">
        <v>1</v>
      </c>
      <c r="I859">
        <v>1</v>
      </c>
    </row>
    <row r="860" spans="1:9">
      <c r="A860" s="24">
        <v>3703</v>
      </c>
      <c r="B860">
        <v>18</v>
      </c>
      <c r="C860">
        <v>1455</v>
      </c>
      <c r="D860">
        <v>11.976250778562541</v>
      </c>
      <c r="E860">
        <v>15.335027481826769</v>
      </c>
      <c r="F860">
        <v>23.272165138649001</v>
      </c>
      <c r="I860">
        <v>1</v>
      </c>
    </row>
    <row r="861" spans="1:9">
      <c r="A861" s="24">
        <v>3704</v>
      </c>
      <c r="B861">
        <v>25</v>
      </c>
      <c r="C861">
        <v>11149</v>
      </c>
      <c r="D861">
        <v>-1.1397326905783673</v>
      </c>
      <c r="E861">
        <v>-1.3479701586129937</v>
      </c>
      <c r="F861">
        <v>-1.7916908950773645</v>
      </c>
    </row>
    <row r="862" spans="1:9">
      <c r="A862" s="24">
        <v>3705</v>
      </c>
      <c r="B862">
        <v>41</v>
      </c>
      <c r="C862">
        <v>182</v>
      </c>
      <c r="D862">
        <v>31.675927365121449</v>
      </c>
      <c r="E862">
        <v>41.554673764885791</v>
      </c>
      <c r="F862">
        <v>65.331212614796485</v>
      </c>
      <c r="H862">
        <v>1</v>
      </c>
      <c r="I862">
        <v>1</v>
      </c>
    </row>
    <row r="863" spans="1:9">
      <c r="A863" s="24">
        <v>3706</v>
      </c>
      <c r="B863">
        <v>32</v>
      </c>
      <c r="C863">
        <v>3000</v>
      </c>
      <c r="D863">
        <v>23.473747501339023</v>
      </c>
      <c r="E863">
        <v>29.676391584943705</v>
      </c>
      <c r="F863">
        <v>44.168627697263943</v>
      </c>
      <c r="I863">
        <v>1</v>
      </c>
    </row>
    <row r="864" spans="1:9">
      <c r="A864" s="24">
        <v>3707</v>
      </c>
      <c r="B864">
        <v>25</v>
      </c>
      <c r="C864">
        <v>21070</v>
      </c>
      <c r="D864">
        <v>17.572848245180573</v>
      </c>
      <c r="E864">
        <v>25.006765508819097</v>
      </c>
      <c r="F864">
        <v>43.661668496538823</v>
      </c>
      <c r="H864">
        <v>1</v>
      </c>
      <c r="I864">
        <v>1</v>
      </c>
    </row>
    <row r="865" spans="1:9">
      <c r="A865" s="24">
        <v>3708</v>
      </c>
      <c r="B865">
        <v>80</v>
      </c>
      <c r="C865">
        <v>958</v>
      </c>
      <c r="D865">
        <v>18.05553724224805</v>
      </c>
      <c r="E865">
        <v>21.355161403926324</v>
      </c>
      <c r="F865">
        <v>28.386629811646007</v>
      </c>
      <c r="H865">
        <v>1</v>
      </c>
      <c r="I865">
        <v>1</v>
      </c>
    </row>
    <row r="866" spans="1:9">
      <c r="A866" s="24">
        <v>3709</v>
      </c>
      <c r="B866">
        <v>18</v>
      </c>
      <c r="C866">
        <v>10</v>
      </c>
      <c r="D866">
        <v>16.632402746529571</v>
      </c>
      <c r="E866">
        <v>22.043857537772382</v>
      </c>
      <c r="F866">
        <v>35.15592884604807</v>
      </c>
      <c r="H866">
        <v>1</v>
      </c>
      <c r="I866">
        <v>1</v>
      </c>
    </row>
    <row r="867" spans="1:9">
      <c r="A867" s="24">
        <v>3710</v>
      </c>
      <c r="B867">
        <v>9</v>
      </c>
      <c r="C867">
        <v>8720</v>
      </c>
      <c r="D867">
        <v>0</v>
      </c>
      <c r="E867">
        <v>0</v>
      </c>
      <c r="F867">
        <v>0</v>
      </c>
    </row>
    <row r="868" spans="1:9">
      <c r="A868" s="24">
        <v>3711</v>
      </c>
      <c r="B868">
        <v>70</v>
      </c>
      <c r="C868">
        <v>7340</v>
      </c>
      <c r="D868">
        <v>32.88652229712217</v>
      </c>
      <c r="E868">
        <v>44.384589342237831</v>
      </c>
      <c r="F868">
        <v>72.543377270136801</v>
      </c>
      <c r="I868">
        <v>1</v>
      </c>
    </row>
    <row r="869" spans="1:9">
      <c r="A869" s="24">
        <v>4102</v>
      </c>
      <c r="B869">
        <v>18</v>
      </c>
      <c r="C869">
        <v>52</v>
      </c>
      <c r="D869">
        <v>8.8133253908788914E-2</v>
      </c>
      <c r="E869">
        <v>0.10423584164302846</v>
      </c>
      <c r="F869">
        <v>0.13854788046992589</v>
      </c>
    </row>
    <row r="870" spans="1:9">
      <c r="A870" s="24">
        <v>4104</v>
      </c>
      <c r="B870">
        <v>51</v>
      </c>
      <c r="C870">
        <v>501</v>
      </c>
      <c r="D870">
        <v>42.271581194787899</v>
      </c>
      <c r="E870">
        <v>54.797443573353775</v>
      </c>
      <c r="F870">
        <v>84.688524475989922</v>
      </c>
      <c r="H870">
        <v>1</v>
      </c>
      <c r="I870">
        <v>1</v>
      </c>
    </row>
    <row r="871" spans="1:9">
      <c r="A871" s="24">
        <v>4105</v>
      </c>
      <c r="B871">
        <v>83</v>
      </c>
      <c r="C871">
        <v>509</v>
      </c>
      <c r="D871">
        <v>49.885750892638477</v>
      </c>
      <c r="E871">
        <v>64.431177246001795</v>
      </c>
      <c r="F871">
        <v>99.044399532330715</v>
      </c>
      <c r="I871">
        <v>1</v>
      </c>
    </row>
    <row r="872" spans="1:9">
      <c r="A872" s="24">
        <v>4106</v>
      </c>
      <c r="B872">
        <v>27</v>
      </c>
      <c r="C872">
        <v>54</v>
      </c>
      <c r="D872">
        <v>16.325707434632587</v>
      </c>
      <c r="E872">
        <v>22.083496433264102</v>
      </c>
      <c r="F872">
        <v>36.20169483815036</v>
      </c>
      <c r="I872">
        <v>1</v>
      </c>
    </row>
    <row r="873" spans="1:9">
      <c r="A873" s="24">
        <v>4107</v>
      </c>
      <c r="B873">
        <v>133</v>
      </c>
      <c r="C873">
        <v>1283</v>
      </c>
      <c r="D873">
        <v>64.491137419471855</v>
      </c>
      <c r="E873">
        <v>85.529301435653622</v>
      </c>
      <c r="F873">
        <v>136.52602300833189</v>
      </c>
      <c r="I873">
        <v>1</v>
      </c>
    </row>
    <row r="874" spans="1:9">
      <c r="A874" s="24">
        <v>4108</v>
      </c>
      <c r="B874">
        <v>21</v>
      </c>
      <c r="C874">
        <v>464</v>
      </c>
      <c r="D874">
        <v>0</v>
      </c>
      <c r="E874">
        <v>0</v>
      </c>
      <c r="F874">
        <v>0</v>
      </c>
    </row>
    <row r="875" spans="1:9">
      <c r="A875" s="24">
        <v>4109</v>
      </c>
      <c r="B875">
        <v>22</v>
      </c>
      <c r="C875">
        <v>255</v>
      </c>
      <c r="D875">
        <v>5.9656736538379826</v>
      </c>
      <c r="E875">
        <v>8.476426903632861</v>
      </c>
      <c r="F875">
        <v>14.773267240327844</v>
      </c>
    </row>
    <row r="876" spans="1:9">
      <c r="A876" s="24">
        <v>4111</v>
      </c>
      <c r="B876">
        <v>26</v>
      </c>
      <c r="C876">
        <v>29</v>
      </c>
      <c r="D876">
        <v>11.43499454557055</v>
      </c>
      <c r="E876">
        <v>15.448225920068531</v>
      </c>
      <c r="F876">
        <v>25.281941294357349</v>
      </c>
    </row>
    <row r="877" spans="1:9">
      <c r="A877" s="24">
        <v>4113</v>
      </c>
      <c r="B877">
        <v>11</v>
      </c>
      <c r="C877">
        <v>75</v>
      </c>
      <c r="D877">
        <v>6.0256425337089716</v>
      </c>
      <c r="E877">
        <v>7.9405605639640893</v>
      </c>
      <c r="F877">
        <v>12.563397423700756</v>
      </c>
      <c r="I877">
        <v>1</v>
      </c>
    </row>
    <row r="878" spans="1:9">
      <c r="A878" s="24">
        <v>4114</v>
      </c>
      <c r="B878">
        <v>26</v>
      </c>
      <c r="C878">
        <v>429</v>
      </c>
      <c r="D878">
        <v>77.776376997433331</v>
      </c>
      <c r="E878">
        <v>93.346017686646491</v>
      </c>
      <c r="F878">
        <v>127.42830639407174</v>
      </c>
      <c r="G878">
        <v>1</v>
      </c>
      <c r="H878">
        <v>1</v>
      </c>
      <c r="I878">
        <v>1</v>
      </c>
    </row>
    <row r="879" spans="1:9">
      <c r="A879" s="24">
        <v>4116</v>
      </c>
      <c r="B879">
        <v>40</v>
      </c>
      <c r="C879">
        <v>231</v>
      </c>
      <c r="D879">
        <v>23.229725049601871</v>
      </c>
      <c r="E879">
        <v>31.025918096313603</v>
      </c>
      <c r="F879">
        <v>50.005425366249646</v>
      </c>
      <c r="I879">
        <v>1</v>
      </c>
    </row>
    <row r="880" spans="1:9">
      <c r="A880" s="24">
        <v>4119</v>
      </c>
      <c r="B880">
        <v>102</v>
      </c>
      <c r="C880">
        <v>804</v>
      </c>
      <c r="D880">
        <v>55.511100583103598</v>
      </c>
      <c r="E880">
        <v>72.206921463663477</v>
      </c>
      <c r="F880">
        <v>112.1504069538379</v>
      </c>
      <c r="I880">
        <v>1</v>
      </c>
    </row>
    <row r="881" spans="1:9">
      <c r="A881" s="24">
        <v>4120</v>
      </c>
      <c r="B881">
        <v>62</v>
      </c>
      <c r="C881">
        <v>44</v>
      </c>
      <c r="D881">
        <v>35.71480363954791</v>
      </c>
      <c r="E881">
        <v>48.020304264634447</v>
      </c>
      <c r="F881">
        <v>78.093320847748018</v>
      </c>
      <c r="I881">
        <v>1</v>
      </c>
    </row>
    <row r="882" spans="1:9">
      <c r="A882" s="24">
        <v>4121</v>
      </c>
      <c r="B882">
        <v>11</v>
      </c>
      <c r="C882">
        <v>134</v>
      </c>
      <c r="D882">
        <v>2.8731288875960392</v>
      </c>
      <c r="E882">
        <v>4.0196622475054902</v>
      </c>
      <c r="F882">
        <v>6.8769781552938269</v>
      </c>
    </row>
    <row r="883" spans="1:9">
      <c r="A883" s="24">
        <v>4123</v>
      </c>
      <c r="B883">
        <v>82</v>
      </c>
      <c r="C883">
        <v>1278</v>
      </c>
      <c r="D883">
        <v>598.46977296240743</v>
      </c>
      <c r="E883">
        <v>715.85743300875913</v>
      </c>
      <c r="F883">
        <v>971.35163254351437</v>
      </c>
      <c r="G883">
        <v>1</v>
      </c>
      <c r="H883">
        <v>1</v>
      </c>
      <c r="I883">
        <v>1</v>
      </c>
    </row>
    <row r="884" spans="1:9">
      <c r="A884" s="24">
        <v>4126</v>
      </c>
      <c r="B884">
        <v>83</v>
      </c>
      <c r="C884">
        <v>209</v>
      </c>
      <c r="D884">
        <v>37.292316124932178</v>
      </c>
      <c r="E884">
        <v>50.144214138357029</v>
      </c>
      <c r="F884">
        <v>81.5535668549241</v>
      </c>
    </row>
    <row r="885" spans="1:9">
      <c r="A885" s="24">
        <v>4127</v>
      </c>
      <c r="B885">
        <v>9</v>
      </c>
      <c r="C885">
        <v>24</v>
      </c>
      <c r="D885">
        <v>-1.6726968869267405</v>
      </c>
      <c r="E885">
        <v>-1.9783107974536636</v>
      </c>
      <c r="F885">
        <v>-2.6295251573507654</v>
      </c>
    </row>
    <row r="886" spans="1:9">
      <c r="A886" s="24">
        <v>4128</v>
      </c>
      <c r="B886">
        <v>14</v>
      </c>
      <c r="C886">
        <v>477</v>
      </c>
      <c r="D886">
        <v>0</v>
      </c>
      <c r="E886">
        <v>0</v>
      </c>
      <c r="F886">
        <v>0</v>
      </c>
    </row>
    <row r="887" spans="1:9">
      <c r="A887" s="24">
        <v>4129</v>
      </c>
      <c r="B887">
        <v>48</v>
      </c>
      <c r="C887">
        <v>238</v>
      </c>
      <c r="D887">
        <v>17.401434535591328</v>
      </c>
      <c r="E887">
        <v>23.451040453945126</v>
      </c>
      <c r="F887">
        <v>38.254545676404341</v>
      </c>
    </row>
    <row r="888" spans="1:9">
      <c r="A888" s="24">
        <v>4130</v>
      </c>
      <c r="B888">
        <v>28</v>
      </c>
      <c r="C888">
        <v>134</v>
      </c>
      <c r="D888">
        <v>7.8579226732460983</v>
      </c>
      <c r="E888">
        <v>10.542187705045105</v>
      </c>
      <c r="F888">
        <v>17.093987015654662</v>
      </c>
    </row>
    <row r="889" spans="1:9">
      <c r="A889" s="24">
        <v>4131</v>
      </c>
      <c r="B889">
        <v>6</v>
      </c>
      <c r="C889">
        <v>20</v>
      </c>
      <c r="D889">
        <v>0</v>
      </c>
      <c r="E889">
        <v>0</v>
      </c>
      <c r="F889">
        <v>0</v>
      </c>
    </row>
    <row r="890" spans="1:9">
      <c r="A890" s="24">
        <v>4133</v>
      </c>
      <c r="B890">
        <v>29</v>
      </c>
      <c r="C890">
        <v>142</v>
      </c>
      <c r="D890">
        <v>9.9993693294690615</v>
      </c>
      <c r="E890">
        <v>13.606003424649485</v>
      </c>
      <c r="F890">
        <v>22.477162939747608</v>
      </c>
    </row>
    <row r="891" spans="1:9">
      <c r="A891" s="24">
        <v>4137</v>
      </c>
      <c r="B891">
        <v>254</v>
      </c>
      <c r="C891">
        <v>468</v>
      </c>
      <c r="D891">
        <v>182.50635297147289</v>
      </c>
      <c r="E891">
        <v>239.00866220508908</v>
      </c>
      <c r="F891">
        <v>374.83821217867819</v>
      </c>
      <c r="I891">
        <v>1</v>
      </c>
    </row>
    <row r="892" spans="1:9">
      <c r="A892" s="24">
        <v>4138</v>
      </c>
      <c r="B892">
        <v>52</v>
      </c>
      <c r="C892">
        <v>17</v>
      </c>
      <c r="D892">
        <v>39.694647295970391</v>
      </c>
      <c r="E892">
        <v>51.150293003762656</v>
      </c>
      <c r="F892">
        <v>78.361470824313187</v>
      </c>
      <c r="I892">
        <v>1</v>
      </c>
    </row>
    <row r="893" spans="1:9">
      <c r="A893" s="24">
        <v>4139</v>
      </c>
      <c r="B893">
        <v>40</v>
      </c>
      <c r="C893">
        <v>16</v>
      </c>
      <c r="D893">
        <v>15.371154325139695</v>
      </c>
      <c r="E893">
        <v>20.899040249011613</v>
      </c>
      <c r="F893">
        <v>34.490366554623193</v>
      </c>
    </row>
    <row r="894" spans="1:9">
      <c r="A894" s="24">
        <v>4141</v>
      </c>
      <c r="B894">
        <v>18</v>
      </c>
      <c r="C894">
        <v>39</v>
      </c>
      <c r="D894">
        <v>16.924584694949896</v>
      </c>
      <c r="E894">
        <v>24.010803469839988</v>
      </c>
      <c r="F894">
        <v>41.772037453505682</v>
      </c>
      <c r="H894">
        <v>1</v>
      </c>
      <c r="I894">
        <v>1</v>
      </c>
    </row>
    <row r="895" spans="1:9">
      <c r="A895" s="24">
        <v>4142</v>
      </c>
      <c r="B895">
        <v>23</v>
      </c>
      <c r="C895">
        <v>1704</v>
      </c>
      <c r="D895">
        <v>0</v>
      </c>
      <c r="E895">
        <v>0</v>
      </c>
      <c r="F895">
        <v>0</v>
      </c>
    </row>
    <row r="896" spans="1:9">
      <c r="A896" s="24">
        <v>4144</v>
      </c>
      <c r="B896">
        <v>30</v>
      </c>
      <c r="C896">
        <v>85</v>
      </c>
      <c r="D896">
        <v>15.913816178015868</v>
      </c>
      <c r="E896">
        <v>21.3706526289618</v>
      </c>
      <c r="F896">
        <v>34.697161916572902</v>
      </c>
      <c r="I896">
        <v>1</v>
      </c>
    </row>
    <row r="897" spans="1:9">
      <c r="A897" s="24">
        <v>4147</v>
      </c>
      <c r="B897">
        <v>164</v>
      </c>
      <c r="C897">
        <v>638</v>
      </c>
      <c r="D897">
        <v>0</v>
      </c>
      <c r="E897">
        <v>0</v>
      </c>
      <c r="F897">
        <v>0</v>
      </c>
    </row>
    <row r="898" spans="1:9">
      <c r="A898" s="24">
        <v>4148</v>
      </c>
      <c r="B898">
        <v>55</v>
      </c>
      <c r="C898">
        <v>105</v>
      </c>
      <c r="D898">
        <v>30.439008432232377</v>
      </c>
      <c r="E898">
        <v>40.921371974039801</v>
      </c>
      <c r="F898">
        <v>66.536985946497325</v>
      </c>
      <c r="I898">
        <v>1</v>
      </c>
    </row>
    <row r="899" spans="1:9">
      <c r="A899" s="24">
        <v>4152</v>
      </c>
      <c r="B899">
        <v>88</v>
      </c>
      <c r="C899">
        <v>53</v>
      </c>
      <c r="D899">
        <v>0</v>
      </c>
      <c r="E899">
        <v>0</v>
      </c>
      <c r="F899">
        <v>0</v>
      </c>
    </row>
    <row r="900" spans="1:9">
      <c r="A900" s="24">
        <v>4153</v>
      </c>
      <c r="B900">
        <v>34</v>
      </c>
      <c r="C900">
        <v>51</v>
      </c>
      <c r="D900">
        <v>14.055411987912327</v>
      </c>
      <c r="E900">
        <v>19.180632917272408</v>
      </c>
      <c r="F900">
        <v>31.805806202294715</v>
      </c>
    </row>
    <row r="901" spans="1:9">
      <c r="A901" s="24">
        <v>4154</v>
      </c>
      <c r="B901">
        <v>33</v>
      </c>
      <c r="C901">
        <v>159</v>
      </c>
      <c r="D901">
        <v>-2.0908461100001943</v>
      </c>
      <c r="E901">
        <v>-2.4728589307218187</v>
      </c>
      <c r="F901">
        <v>-3.2868671481154568</v>
      </c>
    </row>
    <row r="902" spans="1:9">
      <c r="A902" s="24">
        <v>4155</v>
      </c>
      <c r="B902">
        <v>30</v>
      </c>
      <c r="C902">
        <v>441</v>
      </c>
      <c r="D902">
        <v>24.913534956228652</v>
      </c>
      <c r="E902">
        <v>31.894437201884365</v>
      </c>
      <c r="F902">
        <v>48.38835184387338</v>
      </c>
      <c r="H902">
        <v>1</v>
      </c>
      <c r="I902">
        <v>1</v>
      </c>
    </row>
    <row r="903" spans="1:9">
      <c r="A903" s="24">
        <v>4157</v>
      </c>
      <c r="B903">
        <v>17</v>
      </c>
      <c r="C903">
        <v>421</v>
      </c>
      <c r="D903">
        <v>0</v>
      </c>
      <c r="E903">
        <v>0</v>
      </c>
      <c r="F903">
        <v>0</v>
      </c>
    </row>
    <row r="904" spans="1:9">
      <c r="A904" s="24">
        <v>4160</v>
      </c>
      <c r="B904">
        <v>29</v>
      </c>
      <c r="C904">
        <v>10</v>
      </c>
      <c r="D904">
        <v>11.828226155710144</v>
      </c>
      <c r="E904">
        <v>16.520095781837774</v>
      </c>
      <c r="F904">
        <v>28.204254649990503</v>
      </c>
    </row>
    <row r="905" spans="1:9">
      <c r="A905" s="24">
        <v>4161</v>
      </c>
      <c r="B905">
        <v>27</v>
      </c>
      <c r="C905">
        <v>31</v>
      </c>
      <c r="D905">
        <v>15.932652618131037</v>
      </c>
      <c r="E905">
        <v>21.321151573735062</v>
      </c>
      <c r="F905">
        <v>34.454210112507162</v>
      </c>
      <c r="I905">
        <v>1</v>
      </c>
    </row>
    <row r="906" spans="1:9">
      <c r="A906" s="24">
        <v>4162</v>
      </c>
      <c r="B906">
        <v>90</v>
      </c>
      <c r="C906">
        <v>700</v>
      </c>
      <c r="D906">
        <v>12.793939253017118</v>
      </c>
      <c r="E906">
        <v>16.992313897356674</v>
      </c>
      <c r="F906">
        <v>27.178458776363613</v>
      </c>
    </row>
    <row r="907" spans="1:9">
      <c r="A907" s="24">
        <v>4163</v>
      </c>
      <c r="B907">
        <v>150</v>
      </c>
      <c r="C907">
        <v>1162</v>
      </c>
      <c r="D907">
        <v>66.857026262379819</v>
      </c>
      <c r="E907">
        <v>87.922575053990073</v>
      </c>
      <c r="F907">
        <v>138.70783175552259</v>
      </c>
    </row>
    <row r="908" spans="1:9">
      <c r="A908" s="24">
        <v>4164</v>
      </c>
      <c r="B908">
        <v>49</v>
      </c>
      <c r="C908">
        <v>1876</v>
      </c>
      <c r="D908">
        <v>17.372835113166424</v>
      </c>
      <c r="E908">
        <v>23.464654366636882</v>
      </c>
      <c r="F908">
        <v>38.389723182466923</v>
      </c>
    </row>
    <row r="909" spans="1:9">
      <c r="A909" s="24">
        <v>4167</v>
      </c>
      <c r="B909">
        <v>18</v>
      </c>
      <c r="C909">
        <v>680</v>
      </c>
      <c r="D909">
        <v>0</v>
      </c>
      <c r="E909">
        <v>0</v>
      </c>
      <c r="F909">
        <v>0</v>
      </c>
    </row>
    <row r="910" spans="1:9">
      <c r="A910" s="24">
        <v>4168</v>
      </c>
      <c r="B910">
        <v>23</v>
      </c>
      <c r="C910">
        <v>48</v>
      </c>
      <c r="D910">
        <v>0</v>
      </c>
      <c r="E910">
        <v>0</v>
      </c>
      <c r="F910">
        <v>0</v>
      </c>
    </row>
    <row r="911" spans="1:9">
      <c r="A911" s="24">
        <v>4171</v>
      </c>
      <c r="B911">
        <v>41</v>
      </c>
      <c r="C911">
        <v>28</v>
      </c>
      <c r="D911">
        <v>7.0480262289175535</v>
      </c>
      <c r="E911">
        <v>10.106178554979358</v>
      </c>
      <c r="F911">
        <v>17.802446913904145</v>
      </c>
    </row>
    <row r="912" spans="1:9">
      <c r="A912" s="24">
        <v>4173</v>
      </c>
      <c r="B912">
        <v>18</v>
      </c>
      <c r="C912">
        <v>69</v>
      </c>
      <c r="D912">
        <v>12.067024460442894</v>
      </c>
      <c r="E912">
        <v>15.463141999791976</v>
      </c>
      <c r="F912">
        <v>23.493678951398049</v>
      </c>
      <c r="I912">
        <v>1</v>
      </c>
    </row>
    <row r="913" spans="1:9">
      <c r="A913" s="24">
        <v>4174</v>
      </c>
      <c r="B913">
        <v>158</v>
      </c>
      <c r="C913">
        <v>200</v>
      </c>
      <c r="D913">
        <v>0</v>
      </c>
      <c r="E913">
        <v>0</v>
      </c>
      <c r="F913">
        <v>0</v>
      </c>
    </row>
    <row r="914" spans="1:9">
      <c r="A914" s="24">
        <v>4175</v>
      </c>
      <c r="B914">
        <v>82</v>
      </c>
      <c r="C914">
        <v>470</v>
      </c>
      <c r="D914">
        <v>41.414284634395898</v>
      </c>
      <c r="E914">
        <v>54.091841937587162</v>
      </c>
      <c r="F914">
        <v>84.511635018130931</v>
      </c>
      <c r="I914">
        <v>1</v>
      </c>
    </row>
    <row r="915" spans="1:9">
      <c r="A915" s="24">
        <v>4180</v>
      </c>
      <c r="B915">
        <v>71</v>
      </c>
      <c r="C915">
        <v>173</v>
      </c>
      <c r="D915">
        <v>0</v>
      </c>
      <c r="E915">
        <v>0</v>
      </c>
      <c r="F915">
        <v>0</v>
      </c>
    </row>
    <row r="916" spans="1:9">
      <c r="A916" s="24">
        <v>4183</v>
      </c>
      <c r="B916">
        <v>17</v>
      </c>
      <c r="C916">
        <v>6</v>
      </c>
      <c r="D916">
        <v>6.6427508416040464</v>
      </c>
      <c r="E916">
        <v>8.4558218962670075</v>
      </c>
      <c r="F916">
        <v>12.718628849669221</v>
      </c>
    </row>
    <row r="917" spans="1:9">
      <c r="A917" s="24">
        <v>4188</v>
      </c>
      <c r="B917">
        <v>26</v>
      </c>
      <c r="C917">
        <v>24</v>
      </c>
      <c r="D917">
        <v>0</v>
      </c>
      <c r="E917">
        <v>0</v>
      </c>
      <c r="F917">
        <v>0</v>
      </c>
    </row>
    <row r="918" spans="1:9">
      <c r="A918" s="24">
        <v>4190</v>
      </c>
      <c r="B918">
        <v>104</v>
      </c>
      <c r="C918">
        <v>428</v>
      </c>
      <c r="D918">
        <v>75.799478987154927</v>
      </c>
      <c r="E918">
        <v>99.430033402654288</v>
      </c>
      <c r="F918">
        <v>156.30143997520639</v>
      </c>
      <c r="I918">
        <v>1</v>
      </c>
    </row>
    <row r="919" spans="1:9">
      <c r="A919" s="24">
        <v>4192</v>
      </c>
      <c r="B919">
        <v>32</v>
      </c>
      <c r="C919">
        <v>126</v>
      </c>
      <c r="D919">
        <v>0</v>
      </c>
      <c r="E919">
        <v>0</v>
      </c>
      <c r="F919">
        <v>0</v>
      </c>
    </row>
    <row r="920" spans="1:9">
      <c r="A920" s="24">
        <v>4198</v>
      </c>
      <c r="B920">
        <v>5</v>
      </c>
      <c r="C920">
        <v>21</v>
      </c>
      <c r="D920">
        <v>0</v>
      </c>
      <c r="E920">
        <v>0</v>
      </c>
      <c r="F920">
        <v>0</v>
      </c>
    </row>
    <row r="921" spans="1:9">
      <c r="A921" s="24">
        <v>4205</v>
      </c>
      <c r="B921">
        <v>77</v>
      </c>
      <c r="C921">
        <v>23</v>
      </c>
      <c r="D921">
        <v>40.484043154471095</v>
      </c>
      <c r="E921">
        <v>53.578697459092972</v>
      </c>
      <c r="F921">
        <v>85.278481091597314</v>
      </c>
      <c r="I921">
        <v>1</v>
      </c>
    </row>
    <row r="922" spans="1:9">
      <c r="A922" s="24">
        <v>4207</v>
      </c>
      <c r="B922">
        <v>12</v>
      </c>
      <c r="C922">
        <v>358</v>
      </c>
      <c r="D922">
        <v>8.3456130686077703</v>
      </c>
      <c r="E922">
        <v>10.996508374296829</v>
      </c>
      <c r="F922">
        <v>17.395583686257019</v>
      </c>
      <c r="I922">
        <v>1</v>
      </c>
    </row>
    <row r="923" spans="1:9">
      <c r="A923" s="24">
        <v>4303</v>
      </c>
      <c r="B923">
        <v>21</v>
      </c>
      <c r="C923">
        <v>51</v>
      </c>
      <c r="D923">
        <v>11.463454842465261</v>
      </c>
      <c r="E923">
        <v>14.697496499685355</v>
      </c>
      <c r="F923">
        <v>22.348155945132735</v>
      </c>
      <c r="I923">
        <v>1</v>
      </c>
    </row>
    <row r="924" spans="1:9">
      <c r="A924" s="24">
        <v>4304</v>
      </c>
      <c r="B924">
        <v>13</v>
      </c>
      <c r="C924">
        <v>56</v>
      </c>
      <c r="D924">
        <v>0</v>
      </c>
      <c r="E924">
        <v>0</v>
      </c>
      <c r="F924">
        <v>0</v>
      </c>
    </row>
    <row r="925" spans="1:9">
      <c r="A925" s="24">
        <v>4305</v>
      </c>
      <c r="B925">
        <v>39</v>
      </c>
      <c r="C925">
        <v>2</v>
      </c>
      <c r="D925">
        <v>28.049617220287857</v>
      </c>
      <c r="E925">
        <v>36.131980889369565</v>
      </c>
      <c r="F925">
        <v>55.325117035501208</v>
      </c>
      <c r="I925">
        <v>1</v>
      </c>
    </row>
    <row r="926" spans="1:9">
      <c r="A926" s="24">
        <v>4306</v>
      </c>
      <c r="B926">
        <v>13</v>
      </c>
      <c r="C926">
        <v>1442</v>
      </c>
      <c r="D926">
        <v>7.1292740164405721</v>
      </c>
      <c r="E926">
        <v>9.3504528663069983</v>
      </c>
      <c r="F926">
        <v>14.695602188642564</v>
      </c>
      <c r="I926">
        <v>1</v>
      </c>
    </row>
    <row r="927" spans="1:9">
      <c r="A927" s="24">
        <v>4401</v>
      </c>
      <c r="B927">
        <v>52</v>
      </c>
      <c r="C927">
        <v>651</v>
      </c>
      <c r="D927">
        <v>29.391703153380845</v>
      </c>
      <c r="E927">
        <v>38.327300990405931</v>
      </c>
      <c r="F927">
        <v>59.74373849939839</v>
      </c>
      <c r="I927">
        <v>1</v>
      </c>
    </row>
    <row r="928" spans="1:9">
      <c r="A928" s="24">
        <v>4402</v>
      </c>
      <c r="B928">
        <v>7</v>
      </c>
      <c r="C928">
        <v>53</v>
      </c>
      <c r="D928">
        <v>-0.64809436587747615</v>
      </c>
      <c r="E928">
        <v>-0.92930377517051566</v>
      </c>
      <c r="F928">
        <v>-1.6370066127727949</v>
      </c>
    </row>
    <row r="929" spans="1:9">
      <c r="A929" s="24">
        <v>4406</v>
      </c>
      <c r="B929">
        <v>8</v>
      </c>
      <c r="C929">
        <v>17</v>
      </c>
      <c r="D929">
        <v>0</v>
      </c>
      <c r="E929">
        <v>0</v>
      </c>
      <c r="F929">
        <v>0</v>
      </c>
    </row>
    <row r="930" spans="1:9">
      <c r="A930" s="24">
        <v>4413</v>
      </c>
      <c r="B930">
        <v>12</v>
      </c>
      <c r="C930">
        <v>1</v>
      </c>
      <c r="D930">
        <v>1.92464387442402</v>
      </c>
      <c r="E930">
        <v>2.7597506050518343</v>
      </c>
      <c r="F930">
        <v>4.8614135773252691</v>
      </c>
    </row>
    <row r="931" spans="1:9">
      <c r="A931" s="24">
        <v>4414</v>
      </c>
      <c r="B931">
        <v>15</v>
      </c>
      <c r="C931">
        <v>3100</v>
      </c>
      <c r="D931">
        <v>-2.8287553365902922</v>
      </c>
      <c r="E931">
        <v>-3.3455895503058608</v>
      </c>
      <c r="F931">
        <v>-4.4468805912712757</v>
      </c>
    </row>
    <row r="932" spans="1:9">
      <c r="A932" s="24">
        <v>4415</v>
      </c>
      <c r="B932">
        <v>6</v>
      </c>
      <c r="C932">
        <v>2</v>
      </c>
      <c r="D932">
        <v>0</v>
      </c>
      <c r="E932">
        <v>0</v>
      </c>
      <c r="F932">
        <v>0</v>
      </c>
    </row>
    <row r="933" spans="1:9">
      <c r="A933" s="24">
        <v>4416</v>
      </c>
      <c r="B933">
        <v>70</v>
      </c>
      <c r="C933">
        <v>0</v>
      </c>
      <c r="D933">
        <v>6.5585128969888231</v>
      </c>
      <c r="E933">
        <v>7.7568009964977929</v>
      </c>
      <c r="F933">
        <v>10.310161268445572</v>
      </c>
    </row>
    <row r="934" spans="1:9">
      <c r="A934" s="24">
        <v>4417</v>
      </c>
      <c r="B934">
        <v>36</v>
      </c>
      <c r="C934">
        <v>54</v>
      </c>
      <c r="D934">
        <v>32.711738803410213</v>
      </c>
      <c r="E934">
        <v>42.299564076995367</v>
      </c>
      <c r="F934">
        <v>65.13620416296331</v>
      </c>
      <c r="H934">
        <v>1</v>
      </c>
      <c r="I934">
        <v>1</v>
      </c>
    </row>
    <row r="935" spans="1:9">
      <c r="A935" s="24">
        <v>4419</v>
      </c>
      <c r="B935">
        <v>8</v>
      </c>
      <c r="C935">
        <v>2</v>
      </c>
      <c r="D935">
        <v>0</v>
      </c>
      <c r="E935">
        <v>0</v>
      </c>
      <c r="F935">
        <v>0</v>
      </c>
    </row>
    <row r="936" spans="1:9">
      <c r="A936" s="24">
        <v>4420</v>
      </c>
      <c r="B936">
        <v>34</v>
      </c>
      <c r="C936">
        <v>168</v>
      </c>
      <c r="D936">
        <v>13.518766247701116</v>
      </c>
      <c r="E936">
        <v>16.321738948964786</v>
      </c>
      <c r="F936">
        <v>22.516337957340724</v>
      </c>
    </row>
    <row r="937" spans="1:9">
      <c r="A937" s="24">
        <v>4426</v>
      </c>
      <c r="B937">
        <v>61</v>
      </c>
      <c r="C937">
        <v>574</v>
      </c>
      <c r="D937">
        <v>23.652192220549708</v>
      </c>
      <c r="E937">
        <v>31.910368006372735</v>
      </c>
      <c r="F937">
        <v>52.130718846081265</v>
      </c>
    </row>
    <row r="938" spans="1:9">
      <c r="A938" s="24">
        <v>4429</v>
      </c>
      <c r="B938">
        <v>21</v>
      </c>
      <c r="C938">
        <v>1</v>
      </c>
      <c r="D938">
        <v>-3.3839702348215859</v>
      </c>
      <c r="E938">
        <v>-4.0022462564088901</v>
      </c>
      <c r="F938">
        <v>-5.3196935641689027</v>
      </c>
    </row>
    <row r="939" spans="1:9">
      <c r="A939" s="24">
        <v>4430</v>
      </c>
      <c r="B939">
        <v>37</v>
      </c>
      <c r="C939">
        <v>255</v>
      </c>
      <c r="D939">
        <v>29.193811075726366</v>
      </c>
      <c r="E939">
        <v>37.369295500854207</v>
      </c>
      <c r="F939">
        <v>56.683598649731692</v>
      </c>
      <c r="H939">
        <v>1</v>
      </c>
      <c r="I939">
        <v>1</v>
      </c>
    </row>
    <row r="940" spans="1:9">
      <c r="A940" s="24">
        <v>4432</v>
      </c>
      <c r="B940">
        <v>27</v>
      </c>
      <c r="C940">
        <v>286</v>
      </c>
      <c r="D940">
        <v>16.650862958109499</v>
      </c>
      <c r="E940">
        <v>21.655550991519043</v>
      </c>
      <c r="F940">
        <v>33.627545145624367</v>
      </c>
      <c r="I940">
        <v>1</v>
      </c>
    </row>
    <row r="941" spans="1:9">
      <c r="A941" s="24">
        <v>4433</v>
      </c>
      <c r="B941">
        <v>51</v>
      </c>
      <c r="C941">
        <v>660</v>
      </c>
      <c r="D941">
        <v>23.984556912149053</v>
      </c>
      <c r="E941">
        <v>30.700146030911284</v>
      </c>
      <c r="F941">
        <v>46.565023723963918</v>
      </c>
    </row>
    <row r="942" spans="1:9">
      <c r="A942" s="24">
        <v>4438</v>
      </c>
      <c r="B942">
        <v>166</v>
      </c>
      <c r="C942">
        <v>180</v>
      </c>
      <c r="D942">
        <v>94.040105129132726</v>
      </c>
      <c r="E942">
        <v>123.60935371458035</v>
      </c>
      <c r="F942">
        <v>194.87183861857912</v>
      </c>
      <c r="I942">
        <v>1</v>
      </c>
    </row>
    <row r="943" spans="1:9">
      <c r="A943" s="24">
        <v>4502</v>
      </c>
      <c r="B943">
        <v>48</v>
      </c>
      <c r="C943">
        <v>1</v>
      </c>
      <c r="D943">
        <v>20.16698565520861</v>
      </c>
      <c r="E943">
        <v>27.798748667046272</v>
      </c>
      <c r="F943">
        <v>46.691218026249039</v>
      </c>
    </row>
    <row r="944" spans="1:9">
      <c r="A944" s="24">
        <v>4503</v>
      </c>
      <c r="B944">
        <v>26</v>
      </c>
      <c r="C944">
        <v>14</v>
      </c>
      <c r="D944">
        <v>8.7429933179359995</v>
      </c>
      <c r="E944">
        <v>12.375374982241651</v>
      </c>
      <c r="F944">
        <v>21.471531382289339</v>
      </c>
    </row>
    <row r="945" spans="1:9">
      <c r="A945" s="24">
        <v>4506</v>
      </c>
      <c r="B945">
        <v>59</v>
      </c>
      <c r="C945">
        <v>12</v>
      </c>
      <c r="D945">
        <v>36.906117119418283</v>
      </c>
      <c r="E945">
        <v>48.700800149008558</v>
      </c>
      <c r="F945">
        <v>77.199878254649931</v>
      </c>
      <c r="I945">
        <v>1</v>
      </c>
    </row>
    <row r="946" spans="1:9">
      <c r="A946" s="24">
        <v>4510</v>
      </c>
      <c r="B946">
        <v>13</v>
      </c>
      <c r="C946">
        <v>33</v>
      </c>
      <c r="D946">
        <v>8.8946446460449735</v>
      </c>
      <c r="E946">
        <v>11.536911217358533</v>
      </c>
      <c r="F946">
        <v>17.845000531330236</v>
      </c>
      <c r="I946">
        <v>1</v>
      </c>
    </row>
    <row r="947" spans="1:9">
      <c r="A947" s="24">
        <v>4513</v>
      </c>
      <c r="B947">
        <v>10</v>
      </c>
      <c r="C947">
        <v>55</v>
      </c>
      <c r="D947">
        <v>4.425542175251584</v>
      </c>
      <c r="E947">
        <v>5.9787361277183138</v>
      </c>
      <c r="F947">
        <v>9.7845650606250807</v>
      </c>
    </row>
    <row r="948" spans="1:9">
      <c r="A948" s="24">
        <v>4523</v>
      </c>
      <c r="B948">
        <v>15</v>
      </c>
      <c r="C948">
        <v>29</v>
      </c>
      <c r="D948">
        <v>-28.655788675093646</v>
      </c>
      <c r="E948">
        <v>-33.891410086644733</v>
      </c>
      <c r="F948">
        <v>-45.047681868607505</v>
      </c>
    </row>
    <row r="949" spans="1:9">
      <c r="A949" s="24">
        <v>4526</v>
      </c>
      <c r="B949">
        <v>18</v>
      </c>
      <c r="C949">
        <v>102</v>
      </c>
      <c r="D949">
        <v>14.866142389823914</v>
      </c>
      <c r="E949">
        <v>19.417766650019246</v>
      </c>
      <c r="F949">
        <v>30.339731729972755</v>
      </c>
      <c r="H949">
        <v>1</v>
      </c>
      <c r="I949">
        <v>1</v>
      </c>
    </row>
    <row r="950" spans="1:9">
      <c r="A950" s="24">
        <v>4527</v>
      </c>
      <c r="B950">
        <v>28</v>
      </c>
      <c r="C950">
        <v>22</v>
      </c>
      <c r="D950">
        <v>24.301213721862112</v>
      </c>
      <c r="E950">
        <v>31.303438653402729</v>
      </c>
      <c r="F950">
        <v>47.931553537201779</v>
      </c>
      <c r="H950">
        <v>1</v>
      </c>
      <c r="I950">
        <v>1</v>
      </c>
    </row>
    <row r="951" spans="1:9">
      <c r="A951" s="24">
        <v>4528</v>
      </c>
      <c r="B951">
        <v>49</v>
      </c>
      <c r="C951">
        <v>222</v>
      </c>
      <c r="D951">
        <v>28.986457079526243</v>
      </c>
      <c r="E951">
        <v>38.1285931264363</v>
      </c>
      <c r="F951">
        <v>60.172112371788963</v>
      </c>
      <c r="I951">
        <v>1</v>
      </c>
    </row>
    <row r="952" spans="1:9">
      <c r="A952" s="24">
        <v>4529</v>
      </c>
      <c r="B952">
        <v>17</v>
      </c>
      <c r="C952">
        <v>27</v>
      </c>
      <c r="D952">
        <v>0</v>
      </c>
      <c r="E952">
        <v>0</v>
      </c>
      <c r="F952">
        <v>0</v>
      </c>
    </row>
    <row r="953" spans="1:9">
      <c r="A953" s="24">
        <v>4530</v>
      </c>
      <c r="B953">
        <v>7</v>
      </c>
      <c r="C953">
        <v>48</v>
      </c>
      <c r="D953">
        <v>1.696828885206483</v>
      </c>
      <c r="E953">
        <v>2.4330862477191681</v>
      </c>
      <c r="F953">
        <v>4.2859809498051353</v>
      </c>
    </row>
    <row r="954" spans="1:9">
      <c r="A954" s="24">
        <v>4532</v>
      </c>
      <c r="B954">
        <v>25</v>
      </c>
      <c r="C954">
        <v>204</v>
      </c>
      <c r="D954">
        <v>23.187096912595393</v>
      </c>
      <c r="E954">
        <v>29.940530869094538</v>
      </c>
      <c r="F954">
        <v>46.00836765335503</v>
      </c>
      <c r="H954">
        <v>1</v>
      </c>
      <c r="I954">
        <v>1</v>
      </c>
    </row>
    <row r="955" spans="1:9">
      <c r="A955" s="24">
        <v>4533</v>
      </c>
      <c r="B955">
        <v>12</v>
      </c>
      <c r="C955">
        <v>34</v>
      </c>
      <c r="D955">
        <v>6.3642997638015064</v>
      </c>
      <c r="E955">
        <v>8.4428415915158794</v>
      </c>
      <c r="F955">
        <v>13.482141195683694</v>
      </c>
      <c r="I955">
        <v>1</v>
      </c>
    </row>
    <row r="956" spans="1:9">
      <c r="A956" s="24">
        <v>4534</v>
      </c>
      <c r="B956">
        <v>9</v>
      </c>
      <c r="C956">
        <v>48</v>
      </c>
      <c r="D956">
        <v>0</v>
      </c>
      <c r="E956">
        <v>0</v>
      </c>
      <c r="F956">
        <v>0</v>
      </c>
    </row>
    <row r="957" spans="1:9">
      <c r="A957" s="24">
        <v>4535</v>
      </c>
      <c r="B957">
        <v>31</v>
      </c>
      <c r="C957">
        <v>91</v>
      </c>
      <c r="D957">
        <v>21.20646686439574</v>
      </c>
      <c r="E957">
        <v>27.735757769073423</v>
      </c>
      <c r="F957">
        <v>43.417768255397945</v>
      </c>
      <c r="I957">
        <v>1</v>
      </c>
    </row>
    <row r="958" spans="1:9">
      <c r="A958" s="24">
        <v>4536</v>
      </c>
      <c r="B958">
        <v>178</v>
      </c>
      <c r="C958">
        <v>834</v>
      </c>
      <c r="D958">
        <v>93.735856210473969</v>
      </c>
      <c r="E958">
        <v>122.96174233142042</v>
      </c>
      <c r="F958">
        <v>193.30080049139224</v>
      </c>
      <c r="I958">
        <v>1</v>
      </c>
    </row>
    <row r="959" spans="1:9">
      <c r="A959" s="24">
        <v>4538</v>
      </c>
      <c r="B959">
        <v>18</v>
      </c>
      <c r="C959">
        <v>7</v>
      </c>
      <c r="D959">
        <v>14.462352288175586</v>
      </c>
      <c r="E959">
        <v>18.555110249840919</v>
      </c>
      <c r="F959">
        <v>28.242675140845904</v>
      </c>
      <c r="H959">
        <v>1</v>
      </c>
      <c r="I959">
        <v>1</v>
      </c>
    </row>
    <row r="960" spans="1:9">
      <c r="A960" s="24">
        <v>4540</v>
      </c>
      <c r="B960">
        <v>72</v>
      </c>
      <c r="C960">
        <v>2132</v>
      </c>
      <c r="D960">
        <v>40.076853149858508</v>
      </c>
      <c r="E960">
        <v>53.208109404622348</v>
      </c>
      <c r="F960">
        <v>85.059856778994458</v>
      </c>
      <c r="I960">
        <v>1</v>
      </c>
    </row>
    <row r="961" spans="1:9">
      <c r="A961" s="24">
        <v>4541</v>
      </c>
      <c r="B961">
        <v>31</v>
      </c>
      <c r="C961">
        <v>69</v>
      </c>
      <c r="D961">
        <v>10.454446598025477</v>
      </c>
      <c r="E961">
        <v>14.521093068268051</v>
      </c>
      <c r="F961">
        <v>24.623613991037427</v>
      </c>
    </row>
    <row r="962" spans="1:9">
      <c r="A962" s="24">
        <v>4542</v>
      </c>
      <c r="B962">
        <v>24</v>
      </c>
      <c r="C962">
        <v>5</v>
      </c>
      <c r="D962">
        <v>8.5178305386346391</v>
      </c>
      <c r="E962">
        <v>11.879676357746888</v>
      </c>
      <c r="F962">
        <v>20.246491073641316</v>
      </c>
    </row>
    <row r="963" spans="1:9">
      <c r="A963" s="24">
        <v>4543</v>
      </c>
      <c r="B963">
        <v>20</v>
      </c>
      <c r="C963">
        <v>2</v>
      </c>
      <c r="D963">
        <v>8.6946047042352177</v>
      </c>
      <c r="E963">
        <v>12.046815673115635</v>
      </c>
      <c r="F963">
        <v>20.365155524472428</v>
      </c>
      <c r="I963">
        <v>1</v>
      </c>
    </row>
    <row r="964" spans="1:9">
      <c r="A964" s="24">
        <v>4545</v>
      </c>
      <c r="B964">
        <v>24</v>
      </c>
      <c r="C964">
        <v>12</v>
      </c>
      <c r="D964">
        <v>-1.9820940056246059</v>
      </c>
      <c r="E964">
        <v>-2.3442370243779127</v>
      </c>
      <c r="F964">
        <v>-3.1159058719837995</v>
      </c>
    </row>
    <row r="965" spans="1:9">
      <c r="A965" s="24">
        <v>4549</v>
      </c>
      <c r="B965">
        <v>91</v>
      </c>
      <c r="C965">
        <v>79</v>
      </c>
      <c r="D965">
        <v>65.311877013689696</v>
      </c>
      <c r="E965">
        <v>85.486473831325924</v>
      </c>
      <c r="F965">
        <v>133.96764760925521</v>
      </c>
      <c r="I965">
        <v>1</v>
      </c>
    </row>
    <row r="966" spans="1:9">
      <c r="A966" s="24">
        <v>4550</v>
      </c>
      <c r="B966">
        <v>18</v>
      </c>
      <c r="C966">
        <v>34</v>
      </c>
      <c r="D966">
        <v>11.501964163397924</v>
      </c>
      <c r="E966">
        <v>14.702342292715084</v>
      </c>
      <c r="F966">
        <v>22.254147503162805</v>
      </c>
      <c r="I966">
        <v>1</v>
      </c>
    </row>
    <row r="967" spans="1:9">
      <c r="A967" s="24">
        <v>4551</v>
      </c>
      <c r="B967">
        <v>123</v>
      </c>
      <c r="C967">
        <v>284</v>
      </c>
      <c r="D967">
        <v>78.810125056641567</v>
      </c>
      <c r="E967">
        <v>103.29630073845516</v>
      </c>
      <c r="F967">
        <v>162.19452465788856</v>
      </c>
      <c r="I967">
        <v>1</v>
      </c>
    </row>
    <row r="968" spans="1:9">
      <c r="A968" s="24">
        <v>4552</v>
      </c>
      <c r="B968">
        <v>50</v>
      </c>
      <c r="C968">
        <v>140</v>
      </c>
      <c r="D968">
        <v>44.092224613549519</v>
      </c>
      <c r="E968">
        <v>57.427285506342514</v>
      </c>
      <c r="F968">
        <v>89.360220486077793</v>
      </c>
      <c r="H968">
        <v>1</v>
      </c>
      <c r="I968">
        <v>1</v>
      </c>
    </row>
    <row r="969" spans="1:9">
      <c r="A969" s="24">
        <v>4554</v>
      </c>
      <c r="B969">
        <v>18</v>
      </c>
      <c r="C969">
        <v>5</v>
      </c>
      <c r="D969">
        <v>-2.6442757028067647</v>
      </c>
      <c r="E969">
        <v>-3.1274041430891413</v>
      </c>
      <c r="F969">
        <v>-4.1568735721610128</v>
      </c>
    </row>
    <row r="970" spans="1:9">
      <c r="A970" s="24">
        <v>4555</v>
      </c>
      <c r="B970">
        <v>54</v>
      </c>
      <c r="C970">
        <v>2</v>
      </c>
      <c r="D970">
        <v>33.574517574633475</v>
      </c>
      <c r="E970">
        <v>44.732302986164527</v>
      </c>
      <c r="F970">
        <v>71.855467895272554</v>
      </c>
      <c r="I970">
        <v>1</v>
      </c>
    </row>
    <row r="971" spans="1:9">
      <c r="A971" s="24">
        <v>4556</v>
      </c>
      <c r="B971">
        <v>32</v>
      </c>
      <c r="C971">
        <v>5</v>
      </c>
      <c r="D971">
        <v>20.849763147000324</v>
      </c>
      <c r="E971">
        <v>27.61172774202246</v>
      </c>
      <c r="F971">
        <v>43.988017068367448</v>
      </c>
      <c r="I971">
        <v>1</v>
      </c>
    </row>
    <row r="972" spans="1:9">
      <c r="A972" s="24">
        <v>4557</v>
      </c>
      <c r="B972">
        <v>68</v>
      </c>
      <c r="C972">
        <v>16</v>
      </c>
      <c r="D972">
        <v>41.975062893865136</v>
      </c>
      <c r="E972">
        <v>54.550347847240381</v>
      </c>
      <c r="F972">
        <v>84.615779802854007</v>
      </c>
      <c r="I972">
        <v>1</v>
      </c>
    </row>
    <row r="973" spans="1:9">
      <c r="A973" s="24">
        <v>4560</v>
      </c>
      <c r="B973">
        <v>49</v>
      </c>
      <c r="C973">
        <v>498</v>
      </c>
      <c r="D973">
        <v>28.997351812079781</v>
      </c>
      <c r="E973">
        <v>37.982644793428264</v>
      </c>
      <c r="F973">
        <v>59.586107802811718</v>
      </c>
      <c r="I973">
        <v>1</v>
      </c>
    </row>
    <row r="974" spans="1:9">
      <c r="A974" s="24">
        <v>4561</v>
      </c>
      <c r="B974">
        <v>26</v>
      </c>
      <c r="C974">
        <v>6</v>
      </c>
      <c r="D974">
        <v>15.214326183314812</v>
      </c>
      <c r="E974">
        <v>20.110466442980815</v>
      </c>
      <c r="F974">
        <v>31.95373555267232</v>
      </c>
      <c r="I974">
        <v>1</v>
      </c>
    </row>
    <row r="975" spans="1:9">
      <c r="A975" s="24">
        <v>4562</v>
      </c>
      <c r="B975">
        <v>32</v>
      </c>
      <c r="C975">
        <v>17</v>
      </c>
      <c r="D975">
        <v>18.888211877445301</v>
      </c>
      <c r="E975">
        <v>25.210387838367872</v>
      </c>
      <c r="F975">
        <v>40.595312647197247</v>
      </c>
      <c r="I975">
        <v>1</v>
      </c>
    </row>
    <row r="976" spans="1:9">
      <c r="A976" s="24">
        <v>4563</v>
      </c>
      <c r="B976">
        <v>52</v>
      </c>
      <c r="C976">
        <v>6</v>
      </c>
      <c r="D976">
        <v>31.342741058797934</v>
      </c>
      <c r="E976">
        <v>40.700790199006292</v>
      </c>
      <c r="F976">
        <v>63.061375418596768</v>
      </c>
      <c r="I976">
        <v>1</v>
      </c>
    </row>
    <row r="977" spans="1:9">
      <c r="A977" s="24">
        <v>4564</v>
      </c>
      <c r="B977">
        <v>62</v>
      </c>
      <c r="C977">
        <v>2753</v>
      </c>
      <c r="D977">
        <v>27.631569142824013</v>
      </c>
      <c r="E977">
        <v>37.055044736531002</v>
      </c>
      <c r="F977">
        <v>60.050510912817472</v>
      </c>
    </row>
    <row r="978" spans="1:9">
      <c r="A978" s="24">
        <v>4566</v>
      </c>
      <c r="B978">
        <v>44</v>
      </c>
      <c r="C978">
        <v>150</v>
      </c>
      <c r="D978">
        <v>24.324538643162576</v>
      </c>
      <c r="E978">
        <v>32.764756236596249</v>
      </c>
      <c r="F978">
        <v>53.412460165460132</v>
      </c>
      <c r="I978">
        <v>1</v>
      </c>
    </row>
    <row r="979" spans="1:9">
      <c r="A979" s="24">
        <v>4568</v>
      </c>
      <c r="B979">
        <v>69</v>
      </c>
      <c r="C979">
        <v>20</v>
      </c>
      <c r="D979">
        <v>35.065902261362297</v>
      </c>
      <c r="E979">
        <v>47.145956401428464</v>
      </c>
      <c r="F979">
        <v>76.667351405600002</v>
      </c>
      <c r="I979">
        <v>1</v>
      </c>
    </row>
    <row r="980" spans="1:9">
      <c r="A980" s="24">
        <v>4609</v>
      </c>
      <c r="B980">
        <v>12</v>
      </c>
      <c r="C980">
        <v>20</v>
      </c>
      <c r="D980">
        <v>0</v>
      </c>
      <c r="E980">
        <v>0</v>
      </c>
      <c r="F980">
        <v>0</v>
      </c>
    </row>
    <row r="981" spans="1:9">
      <c r="A981" s="24">
        <v>4702</v>
      </c>
      <c r="B981">
        <v>3</v>
      </c>
      <c r="C981">
        <v>90</v>
      </c>
      <c r="D981">
        <v>0</v>
      </c>
      <c r="E981">
        <v>0</v>
      </c>
      <c r="F981">
        <v>0</v>
      </c>
    </row>
    <row r="982" spans="1:9">
      <c r="A982" s="24">
        <v>4706</v>
      </c>
      <c r="B982">
        <v>19</v>
      </c>
      <c r="C982">
        <v>38</v>
      </c>
      <c r="D982">
        <v>14.030657115826024</v>
      </c>
      <c r="E982">
        <v>18.425636180983908</v>
      </c>
      <c r="F982">
        <v>29.011152455699502</v>
      </c>
      <c r="I982">
        <v>1</v>
      </c>
    </row>
    <row r="983" spans="1:9">
      <c r="A983" s="24">
        <v>4707</v>
      </c>
      <c r="B983">
        <v>11</v>
      </c>
      <c r="C983">
        <v>283</v>
      </c>
      <c r="D983">
        <v>6.9622833611363983</v>
      </c>
      <c r="E983">
        <v>8.9759778979005631</v>
      </c>
      <c r="F983">
        <v>13.76107366408254</v>
      </c>
      <c r="I983">
        <v>1</v>
      </c>
    </row>
    <row r="984" spans="1:9">
      <c r="A984" s="24">
        <v>4711</v>
      </c>
      <c r="B984">
        <v>14</v>
      </c>
      <c r="C984">
        <v>30</v>
      </c>
      <c r="D984">
        <v>6.9376255539327136</v>
      </c>
      <c r="E984">
        <v>9.1610009844023637</v>
      </c>
      <c r="F984">
        <v>14.535629522133426</v>
      </c>
      <c r="I984">
        <v>1</v>
      </c>
    </row>
    <row r="985" spans="1:9">
      <c r="A985" s="24">
        <v>4712</v>
      </c>
      <c r="B985">
        <v>8</v>
      </c>
      <c r="C985">
        <v>102</v>
      </c>
      <c r="D985">
        <v>0</v>
      </c>
      <c r="E985">
        <v>0</v>
      </c>
      <c r="F985">
        <v>0</v>
      </c>
    </row>
    <row r="986" spans="1:9">
      <c r="A986" s="24">
        <v>4714</v>
      </c>
      <c r="B986">
        <v>15</v>
      </c>
      <c r="C986">
        <v>1260</v>
      </c>
      <c r="D986">
        <v>4.2527201100807908</v>
      </c>
      <c r="E986">
        <v>6.0065101397401905</v>
      </c>
      <c r="F986">
        <v>10.394499569185253</v>
      </c>
    </row>
    <row r="987" spans="1:9">
      <c r="A987" s="24">
        <v>4716</v>
      </c>
      <c r="B987">
        <v>14</v>
      </c>
      <c r="C987">
        <v>30</v>
      </c>
      <c r="D987">
        <v>4.6812087742931112</v>
      </c>
      <c r="E987">
        <v>6.2302405506713772</v>
      </c>
      <c r="F987">
        <v>9.9932972501130557</v>
      </c>
    </row>
    <row r="988" spans="1:9">
      <c r="A988" s="24">
        <v>4720</v>
      </c>
      <c r="B988">
        <v>14</v>
      </c>
      <c r="C988">
        <v>441</v>
      </c>
      <c r="D988">
        <v>6.6632328776553829</v>
      </c>
      <c r="E988">
        <v>9.0646384142070922</v>
      </c>
      <c r="F988">
        <v>14.970671804257144</v>
      </c>
      <c r="I988">
        <v>1</v>
      </c>
    </row>
    <row r="989" spans="1:9">
      <c r="A989" s="24">
        <v>4721</v>
      </c>
      <c r="B989">
        <v>74</v>
      </c>
      <c r="C989">
        <v>4117</v>
      </c>
      <c r="D989">
        <v>296.55714196621182</v>
      </c>
      <c r="E989">
        <v>419.61807252230687</v>
      </c>
      <c r="F989">
        <v>727.74226489291209</v>
      </c>
      <c r="G989">
        <v>1</v>
      </c>
      <c r="H989">
        <v>1</v>
      </c>
      <c r="I989">
        <v>1</v>
      </c>
    </row>
    <row r="990" spans="1:9">
      <c r="A990" s="24">
        <v>4722</v>
      </c>
      <c r="B990">
        <v>28</v>
      </c>
      <c r="C990">
        <v>41</v>
      </c>
      <c r="D990">
        <v>22.572604427600794</v>
      </c>
      <c r="E990">
        <v>29.034412816096275</v>
      </c>
      <c r="F990">
        <v>44.361318819566144</v>
      </c>
      <c r="H990">
        <v>1</v>
      </c>
      <c r="I990">
        <v>1</v>
      </c>
    </row>
    <row r="991" spans="1:9">
      <c r="A991" s="24">
        <v>4725</v>
      </c>
      <c r="B991">
        <v>18</v>
      </c>
      <c r="C991">
        <v>1742</v>
      </c>
      <c r="D991">
        <v>6.326538731481067</v>
      </c>
      <c r="E991">
        <v>9.0716362253322433</v>
      </c>
      <c r="F991">
        <v>15.980058282678629</v>
      </c>
    </row>
    <row r="992" spans="1:9">
      <c r="A992" s="24">
        <v>4726</v>
      </c>
      <c r="B992">
        <v>22</v>
      </c>
      <c r="C992">
        <v>107</v>
      </c>
      <c r="D992">
        <v>0</v>
      </c>
      <c r="E992">
        <v>0</v>
      </c>
      <c r="F992">
        <v>0</v>
      </c>
    </row>
    <row r="993" spans="1:9">
      <c r="A993" s="24">
        <v>4728</v>
      </c>
      <c r="B993">
        <v>85</v>
      </c>
      <c r="C993">
        <v>262</v>
      </c>
      <c r="D993">
        <v>29.608497261002508</v>
      </c>
      <c r="E993">
        <v>40.812308805646921</v>
      </c>
      <c r="F993">
        <v>68.547117021877071</v>
      </c>
    </row>
    <row r="994" spans="1:9">
      <c r="A994" s="24">
        <v>4729</v>
      </c>
      <c r="B994">
        <v>13</v>
      </c>
      <c r="C994">
        <v>198</v>
      </c>
      <c r="D994">
        <v>-3.0313141022178312</v>
      </c>
      <c r="E994">
        <v>-4.3466072029566387</v>
      </c>
      <c r="F994">
        <v>-7.6567263842872988</v>
      </c>
    </row>
    <row r="995" spans="1:9">
      <c r="A995" s="24">
        <v>4735</v>
      </c>
      <c r="B995">
        <v>43</v>
      </c>
      <c r="C995">
        <v>165</v>
      </c>
      <c r="D995">
        <v>29.508583178443324</v>
      </c>
      <c r="E995">
        <v>38.570367793967733</v>
      </c>
      <c r="F995">
        <v>60.325550493672779</v>
      </c>
      <c r="I995">
        <v>1</v>
      </c>
    </row>
    <row r="996" spans="1:9">
      <c r="A996" s="24">
        <v>4736</v>
      </c>
      <c r="B996">
        <v>136</v>
      </c>
      <c r="C996">
        <v>423</v>
      </c>
      <c r="D996">
        <v>109.65083606849149</v>
      </c>
      <c r="E996">
        <v>141.87248159888802</v>
      </c>
      <c r="F996">
        <v>218.65365262424137</v>
      </c>
      <c r="H996">
        <v>1</v>
      </c>
      <c r="I996">
        <v>1</v>
      </c>
    </row>
    <row r="997" spans="1:9">
      <c r="A997" s="24">
        <v>4737</v>
      </c>
      <c r="B997">
        <v>51</v>
      </c>
      <c r="C997">
        <v>14</v>
      </c>
      <c r="D997">
        <v>34.562990021707179</v>
      </c>
      <c r="E997">
        <v>45.273442004239214</v>
      </c>
      <c r="F997">
        <v>71.024947314996894</v>
      </c>
      <c r="I997">
        <v>1</v>
      </c>
    </row>
    <row r="998" spans="1:9">
      <c r="A998" s="24">
        <v>4739</v>
      </c>
      <c r="B998">
        <v>76</v>
      </c>
      <c r="C998">
        <v>681</v>
      </c>
      <c r="D998">
        <v>48.093720677837609</v>
      </c>
      <c r="E998">
        <v>63.516039449914985</v>
      </c>
      <c r="F998">
        <v>100.80034640332563</v>
      </c>
      <c r="I998">
        <v>1</v>
      </c>
    </row>
    <row r="999" spans="1:9">
      <c r="A999" s="24">
        <v>4741</v>
      </c>
      <c r="B999">
        <v>36</v>
      </c>
      <c r="C999">
        <v>149</v>
      </c>
      <c r="D999">
        <v>25.147561362707627</v>
      </c>
      <c r="E999">
        <v>32.346969612723306</v>
      </c>
      <c r="F999">
        <v>49.423606097322391</v>
      </c>
      <c r="I999">
        <v>1</v>
      </c>
    </row>
    <row r="1000" spans="1:9">
      <c r="A1000" s="24">
        <v>4743</v>
      </c>
      <c r="B1000">
        <v>29</v>
      </c>
      <c r="C1000">
        <v>308</v>
      </c>
      <c r="D1000">
        <v>-1.7365732480299669</v>
      </c>
      <c r="E1000">
        <v>-2.235155436271504</v>
      </c>
      <c r="F1000">
        <v>-3.4183733701306234</v>
      </c>
    </row>
    <row r="1001" spans="1:9">
      <c r="A1001" s="24">
        <v>4744</v>
      </c>
      <c r="B1001">
        <v>30</v>
      </c>
      <c r="C1001">
        <v>96</v>
      </c>
      <c r="D1001">
        <v>17.878219913063226</v>
      </c>
      <c r="E1001">
        <v>23.453470423681512</v>
      </c>
      <c r="F1001">
        <v>36.872030977180806</v>
      </c>
      <c r="I1001">
        <v>1</v>
      </c>
    </row>
    <row r="1002" spans="1:9">
      <c r="A1002" s="24">
        <v>4745</v>
      </c>
      <c r="B1002">
        <v>50</v>
      </c>
      <c r="C1002">
        <v>138</v>
      </c>
      <c r="D1002">
        <v>46.750522956864813</v>
      </c>
      <c r="E1002">
        <v>60.908709863582764</v>
      </c>
      <c r="F1002">
        <v>94.820466074258491</v>
      </c>
      <c r="H1002">
        <v>1</v>
      </c>
      <c r="I1002">
        <v>1</v>
      </c>
    </row>
    <row r="1003" spans="1:9">
      <c r="A1003" s="24">
        <v>4746</v>
      </c>
      <c r="B1003">
        <v>38</v>
      </c>
      <c r="C1003">
        <v>111</v>
      </c>
      <c r="D1003">
        <v>13.977362433518095</v>
      </c>
      <c r="E1003">
        <v>18.924256740033634</v>
      </c>
      <c r="F1003">
        <v>31.060108568072426</v>
      </c>
    </row>
    <row r="1004" spans="1:9">
      <c r="A1004" s="24">
        <v>4747</v>
      </c>
      <c r="B1004">
        <v>39</v>
      </c>
      <c r="C1004">
        <v>7</v>
      </c>
      <c r="D1004">
        <v>24.920911045801265</v>
      </c>
      <c r="E1004">
        <v>32.97676341747718</v>
      </c>
      <c r="F1004">
        <v>52.47668724680544</v>
      </c>
      <c r="I1004">
        <v>1</v>
      </c>
    </row>
    <row r="1005" spans="1:9">
      <c r="A1005" s="24">
        <v>4754</v>
      </c>
      <c r="B1005">
        <v>55</v>
      </c>
      <c r="C1005">
        <v>5</v>
      </c>
      <c r="D1005">
        <v>34.739272378828417</v>
      </c>
      <c r="E1005">
        <v>45.078637769027736</v>
      </c>
      <c r="F1005">
        <v>69.770656186370758</v>
      </c>
      <c r="I1005">
        <v>1</v>
      </c>
    </row>
    <row r="1006" spans="1:9">
      <c r="A1006" s="24">
        <v>4755</v>
      </c>
      <c r="B1006">
        <v>44</v>
      </c>
      <c r="C1006">
        <v>11</v>
      </c>
      <c r="D1006">
        <v>30.039556696463713</v>
      </c>
      <c r="E1006">
        <v>39.183554238875175</v>
      </c>
      <c r="F1006">
        <v>61.104056756932721</v>
      </c>
      <c r="I1006">
        <v>1</v>
      </c>
    </row>
    <row r="1007" spans="1:9">
      <c r="A1007" s="24">
        <v>4760</v>
      </c>
      <c r="B1007">
        <v>26</v>
      </c>
      <c r="C1007">
        <v>94</v>
      </c>
      <c r="D1007">
        <v>16.932727506720898</v>
      </c>
      <c r="E1007">
        <v>22.30316342233877</v>
      </c>
      <c r="F1007">
        <v>35.263927480348286</v>
      </c>
      <c r="I1007">
        <v>1</v>
      </c>
    </row>
    <row r="1008" spans="1:9">
      <c r="A1008" s="24">
        <v>4763</v>
      </c>
      <c r="B1008">
        <v>145</v>
      </c>
      <c r="C1008">
        <v>139</v>
      </c>
      <c r="D1008">
        <v>49.0843774349634</v>
      </c>
      <c r="E1008">
        <v>65.822348068584887</v>
      </c>
      <c r="F1008">
        <v>106.66624506946788</v>
      </c>
    </row>
    <row r="1009" spans="1:9">
      <c r="A1009" s="24">
        <v>4764</v>
      </c>
      <c r="B1009">
        <v>82</v>
      </c>
      <c r="C1009">
        <v>112</v>
      </c>
      <c r="D1009">
        <v>55.014422754197966</v>
      </c>
      <c r="E1009">
        <v>73.491275779979617</v>
      </c>
      <c r="F1009">
        <v>118.47723322349339</v>
      </c>
      <c r="I1009">
        <v>1</v>
      </c>
    </row>
    <row r="1010" spans="1:9">
      <c r="A1010" s="24">
        <v>4766</v>
      </c>
      <c r="B1010">
        <v>175</v>
      </c>
      <c r="C1010">
        <v>483</v>
      </c>
      <c r="D1010">
        <v>55.050635976317139</v>
      </c>
      <c r="E1010">
        <v>74.691661533403121</v>
      </c>
      <c r="F1010">
        <v>122.92969462527275</v>
      </c>
    </row>
    <row r="1011" spans="1:9">
      <c r="A1011" s="24">
        <v>4767</v>
      </c>
      <c r="B1011">
        <v>20</v>
      </c>
      <c r="C1011">
        <v>7</v>
      </c>
      <c r="D1011">
        <v>11.441808466458742</v>
      </c>
      <c r="E1011">
        <v>15.431618453677039</v>
      </c>
      <c r="F1011">
        <v>25.198988633371144</v>
      </c>
      <c r="I1011">
        <v>1</v>
      </c>
    </row>
    <row r="1012" spans="1:9">
      <c r="A1012" s="24">
        <v>4803</v>
      </c>
      <c r="B1012">
        <v>147</v>
      </c>
      <c r="C1012">
        <v>693</v>
      </c>
      <c r="D1012">
        <v>74.90318109638639</v>
      </c>
      <c r="E1012">
        <v>100.62632883288487</v>
      </c>
      <c r="F1012">
        <v>163.46037986971385</v>
      </c>
      <c r="I1012">
        <v>1</v>
      </c>
    </row>
    <row r="1013" spans="1:9">
      <c r="A1013" s="24">
        <v>4804</v>
      </c>
      <c r="B1013">
        <v>16</v>
      </c>
      <c r="C1013">
        <v>115</v>
      </c>
      <c r="D1013">
        <v>-12.714353655547409</v>
      </c>
      <c r="E1013">
        <v>-15.037358720519652</v>
      </c>
      <c r="F1013">
        <v>-19.987310945584873</v>
      </c>
    </row>
    <row r="1014" spans="1:9">
      <c r="A1014" s="24">
        <v>4806</v>
      </c>
      <c r="B1014">
        <v>12</v>
      </c>
      <c r="C1014">
        <v>14</v>
      </c>
      <c r="D1014">
        <v>-5.5997185554170219</v>
      </c>
      <c r="E1014">
        <v>-6.622827941789736</v>
      </c>
      <c r="F1014">
        <v>-8.8029103961606427</v>
      </c>
    </row>
    <row r="1015" spans="1:9">
      <c r="A1015" s="24">
        <v>4807</v>
      </c>
      <c r="B1015">
        <v>34</v>
      </c>
      <c r="C1015">
        <v>14</v>
      </c>
      <c r="D1015">
        <v>54.853078756991394</v>
      </c>
      <c r="E1015">
        <v>71.401849609725588</v>
      </c>
      <c r="F1015">
        <v>111.01411872499972</v>
      </c>
      <c r="G1015">
        <v>1</v>
      </c>
      <c r="H1015">
        <v>1</v>
      </c>
      <c r="I1015">
        <v>1</v>
      </c>
    </row>
    <row r="1016" spans="1:9">
      <c r="A1016" s="24">
        <v>4903</v>
      </c>
      <c r="B1016">
        <v>14</v>
      </c>
      <c r="C1016">
        <v>62</v>
      </c>
      <c r="D1016">
        <v>-1.0420749296113248</v>
      </c>
      <c r="E1016">
        <v>-1.2324696130651316</v>
      </c>
      <c r="F1016">
        <v>-1.6381702295698228</v>
      </c>
    </row>
    <row r="1017" spans="1:9">
      <c r="A1017" s="24">
        <v>4904</v>
      </c>
      <c r="B1017">
        <v>72</v>
      </c>
      <c r="C1017">
        <v>1390</v>
      </c>
      <c r="D1017">
        <v>46.914695608613101</v>
      </c>
      <c r="E1017">
        <v>61.682907803494963</v>
      </c>
      <c r="F1017">
        <v>97.281069570294449</v>
      </c>
      <c r="I1017">
        <v>1</v>
      </c>
    </row>
    <row r="1018" spans="1:9">
      <c r="A1018" s="24">
        <v>4905</v>
      </c>
      <c r="B1018">
        <v>59</v>
      </c>
      <c r="C1018">
        <v>3</v>
      </c>
      <c r="D1018">
        <v>-27.130185457306119</v>
      </c>
      <c r="E1018">
        <v>-37.193000481625589</v>
      </c>
      <c r="F1018">
        <v>-62.037908405201989</v>
      </c>
    </row>
    <row r="1019" spans="1:9">
      <c r="A1019" s="24">
        <v>4906</v>
      </c>
      <c r="B1019">
        <v>27</v>
      </c>
      <c r="C1019">
        <v>4739</v>
      </c>
      <c r="D1019">
        <v>10.376634975509957</v>
      </c>
      <c r="E1019">
        <v>14.781088608719898</v>
      </c>
      <c r="F1019">
        <v>25.838015800483465</v>
      </c>
    </row>
    <row r="1020" spans="1:9">
      <c r="A1020" s="24">
        <v>4907</v>
      </c>
      <c r="B1020">
        <v>22</v>
      </c>
      <c r="C1020">
        <v>90</v>
      </c>
      <c r="D1020">
        <v>9.0431334477074916</v>
      </c>
      <c r="E1020">
        <v>12.330758188362697</v>
      </c>
      <c r="F1020">
        <v>20.425997702173376</v>
      </c>
    </row>
    <row r="1021" spans="1:9">
      <c r="A1021" s="24">
        <v>4908</v>
      </c>
      <c r="B1021">
        <v>24</v>
      </c>
      <c r="C1021">
        <v>109</v>
      </c>
      <c r="D1021">
        <v>12.186251117329679</v>
      </c>
      <c r="E1021">
        <v>16.010221862587095</v>
      </c>
      <c r="F1021">
        <v>25.223055552242876</v>
      </c>
      <c r="I1021">
        <v>1</v>
      </c>
    </row>
    <row r="1022" spans="1:9">
      <c r="A1022" s="24">
        <v>4909</v>
      </c>
      <c r="B1022">
        <v>21</v>
      </c>
      <c r="C1022">
        <v>197</v>
      </c>
      <c r="D1022">
        <v>11.182854788292776</v>
      </c>
      <c r="E1022">
        <v>14.891021818797812</v>
      </c>
      <c r="F1022">
        <v>23.902095243372127</v>
      </c>
      <c r="I1022">
        <v>1</v>
      </c>
    </row>
    <row r="1023" spans="1:9">
      <c r="A1023" s="24">
        <v>4911</v>
      </c>
      <c r="B1023">
        <v>48</v>
      </c>
      <c r="C1023">
        <v>13</v>
      </c>
      <c r="D1023">
        <v>-0.50220491109213261</v>
      </c>
      <c r="E1023">
        <v>-0.59396140801889152</v>
      </c>
      <c r="F1023">
        <v>-0.78947982637078007</v>
      </c>
    </row>
    <row r="1024" spans="1:9">
      <c r="A1024" s="24">
        <v>4912</v>
      </c>
      <c r="B1024">
        <v>140</v>
      </c>
      <c r="C1024">
        <v>32</v>
      </c>
      <c r="D1024">
        <v>124.84127339897802</v>
      </c>
      <c r="E1024">
        <v>160.68561131411951</v>
      </c>
      <c r="F1024">
        <v>245.7508044395737</v>
      </c>
      <c r="H1024">
        <v>1</v>
      </c>
      <c r="I1024">
        <v>1</v>
      </c>
    </row>
    <row r="1025" spans="1:9">
      <c r="A1025" s="24">
        <v>4915</v>
      </c>
      <c r="B1025">
        <v>59</v>
      </c>
      <c r="C1025">
        <v>31185</v>
      </c>
      <c r="D1025">
        <v>66.091398969289145</v>
      </c>
      <c r="E1025">
        <v>90.266323907438547</v>
      </c>
      <c r="F1025">
        <v>149.84251346335904</v>
      </c>
      <c r="G1025">
        <v>1</v>
      </c>
      <c r="H1025">
        <v>1</v>
      </c>
      <c r="I1025">
        <v>1</v>
      </c>
    </row>
    <row r="1026" spans="1:9">
      <c r="A1026" s="24">
        <v>4916</v>
      </c>
      <c r="B1026">
        <v>35</v>
      </c>
      <c r="C1026">
        <v>221</v>
      </c>
      <c r="D1026">
        <v>71.403188700306927</v>
      </c>
      <c r="E1026">
        <v>88.325695309856698</v>
      </c>
      <c r="F1026">
        <v>126.96828172260911</v>
      </c>
      <c r="G1026">
        <v>1</v>
      </c>
      <c r="H1026">
        <v>1</v>
      </c>
      <c r="I1026">
        <v>1</v>
      </c>
    </row>
    <row r="1027" spans="1:9">
      <c r="A1027" s="24">
        <v>4919</v>
      </c>
      <c r="B1027">
        <v>51</v>
      </c>
      <c r="C1027">
        <v>1802</v>
      </c>
      <c r="D1027">
        <v>29.514945124022724</v>
      </c>
      <c r="E1027">
        <v>38.159621457467729</v>
      </c>
      <c r="F1027">
        <v>58.747272211364177</v>
      </c>
      <c r="I1027">
        <v>1</v>
      </c>
    </row>
    <row r="1028" spans="1:9">
      <c r="A1028" s="24">
        <v>4924</v>
      </c>
      <c r="B1028">
        <v>9</v>
      </c>
      <c r="C1028">
        <v>40</v>
      </c>
      <c r="D1028">
        <v>0.31668247423558493</v>
      </c>
      <c r="E1028">
        <v>0.45409161741286558</v>
      </c>
      <c r="F1028">
        <v>0.79990095851397924</v>
      </c>
    </row>
    <row r="1029" spans="1:9">
      <c r="A1029" s="24">
        <v>4927</v>
      </c>
      <c r="B1029">
        <v>50</v>
      </c>
      <c r="C1029">
        <v>2551</v>
      </c>
      <c r="D1029">
        <v>21.842919251758712</v>
      </c>
      <c r="E1029">
        <v>28.59969872966419</v>
      </c>
      <c r="F1029">
        <v>44.840558802068756</v>
      </c>
    </row>
    <row r="1030" spans="1:9">
      <c r="A1030" s="24">
        <v>4930</v>
      </c>
      <c r="B1030">
        <v>12</v>
      </c>
      <c r="C1030">
        <v>28</v>
      </c>
      <c r="D1030">
        <v>-3.6159008288981274</v>
      </c>
      <c r="E1030">
        <v>-4.2765522601490407</v>
      </c>
      <c r="F1030">
        <v>-5.684294787887378</v>
      </c>
    </row>
    <row r="1031" spans="1:9">
      <c r="A1031" s="24">
        <v>4933</v>
      </c>
      <c r="B1031">
        <v>34</v>
      </c>
      <c r="C1031">
        <v>1860</v>
      </c>
      <c r="D1031">
        <v>16.808392424063864</v>
      </c>
      <c r="E1031">
        <v>21.566585881323597</v>
      </c>
      <c r="F1031">
        <v>32.829891836030171</v>
      </c>
    </row>
    <row r="1032" spans="1:9">
      <c r="A1032" s="24">
        <v>4934</v>
      </c>
      <c r="B1032">
        <v>4</v>
      </c>
      <c r="C1032">
        <v>1272</v>
      </c>
      <c r="D1032">
        <v>-6.5545042640448825</v>
      </c>
      <c r="E1032">
        <v>-7.7520599571032616</v>
      </c>
      <c r="F1032">
        <v>-10.303859588054426</v>
      </c>
    </row>
    <row r="1033" spans="1:9">
      <c r="A1033" s="24">
        <v>4935</v>
      </c>
      <c r="B1033">
        <v>61</v>
      </c>
      <c r="C1033">
        <v>1403</v>
      </c>
      <c r="D1033">
        <v>14.896957393688977</v>
      </c>
      <c r="E1033">
        <v>20.236028511529955</v>
      </c>
      <c r="F1033">
        <v>33.356929559553116</v>
      </c>
    </row>
    <row r="1034" spans="1:9">
      <c r="A1034" s="24">
        <v>4938</v>
      </c>
      <c r="B1034">
        <v>58</v>
      </c>
      <c r="C1034">
        <v>7203</v>
      </c>
      <c r="D1034">
        <v>39.852011685763522</v>
      </c>
      <c r="E1034">
        <v>51.828828552237027</v>
      </c>
      <c r="F1034">
        <v>80.478693426788254</v>
      </c>
      <c r="I1034">
        <v>1</v>
      </c>
    </row>
    <row r="1035" spans="1:9">
      <c r="A1035" s="24">
        <v>4939</v>
      </c>
      <c r="B1035">
        <v>20</v>
      </c>
      <c r="C1035">
        <v>3006</v>
      </c>
      <c r="D1035">
        <v>10.60501440524293</v>
      </c>
      <c r="E1035">
        <v>14.407403143194532</v>
      </c>
      <c r="F1035">
        <v>23.75239546860481</v>
      </c>
      <c r="I1035">
        <v>1</v>
      </c>
    </row>
    <row r="1036" spans="1:9">
      <c r="A1036" s="24">
        <v>4942</v>
      </c>
      <c r="B1036">
        <v>40</v>
      </c>
      <c r="C1036">
        <v>625</v>
      </c>
      <c r="D1036">
        <v>28.322847700447653</v>
      </c>
      <c r="E1036">
        <v>36.857193915911559</v>
      </c>
      <c r="F1036">
        <v>57.28137139587006</v>
      </c>
      <c r="I1036">
        <v>1</v>
      </c>
    </row>
    <row r="1037" spans="1:9">
      <c r="A1037" s="24">
        <v>4943</v>
      </c>
      <c r="B1037">
        <v>176</v>
      </c>
      <c r="C1037">
        <v>3697</v>
      </c>
      <c r="D1037">
        <v>84.956260342423349</v>
      </c>
      <c r="E1037">
        <v>108.71447922030794</v>
      </c>
      <c r="F1037">
        <v>164.82807986049025</v>
      </c>
    </row>
    <row r="1038" spans="1:9">
      <c r="A1038" s="24">
        <v>4944</v>
      </c>
      <c r="B1038">
        <v>12</v>
      </c>
      <c r="C1038">
        <v>301</v>
      </c>
      <c r="D1038">
        <v>-1.8769634575867504</v>
      </c>
      <c r="E1038">
        <v>-2.219898359105668</v>
      </c>
      <c r="F1038">
        <v>-2.950637781254267</v>
      </c>
    </row>
    <row r="1039" spans="1:9">
      <c r="A1039" s="24">
        <v>4946</v>
      </c>
      <c r="B1039">
        <v>31</v>
      </c>
      <c r="C1039">
        <v>21</v>
      </c>
      <c r="D1039">
        <v>22.255248678050723</v>
      </c>
      <c r="E1039">
        <v>31.846705012902426</v>
      </c>
      <c r="F1039">
        <v>55.966668361836021</v>
      </c>
      <c r="H1039">
        <v>1</v>
      </c>
      <c r="I1039">
        <v>1</v>
      </c>
    </row>
    <row r="1040" spans="1:9">
      <c r="A1040" s="24">
        <v>4947</v>
      </c>
      <c r="B1040">
        <v>168</v>
      </c>
      <c r="C1040">
        <v>118</v>
      </c>
      <c r="D1040">
        <v>101.76754986531054</v>
      </c>
      <c r="E1040">
        <v>133.99184246566506</v>
      </c>
      <c r="F1040">
        <v>211.74027490222329</v>
      </c>
      <c r="I1040">
        <v>1</v>
      </c>
    </row>
    <row r="1041" spans="1:9">
      <c r="A1041" s="24">
        <v>4950</v>
      </c>
      <c r="B1041">
        <v>10</v>
      </c>
      <c r="C1041">
        <v>0</v>
      </c>
      <c r="D1041">
        <v>-6.1470465058555002</v>
      </c>
      <c r="E1041">
        <v>-7.2701566972643974</v>
      </c>
      <c r="F1041">
        <v>-9.66332487187805</v>
      </c>
    </row>
    <row r="1042" spans="1:9">
      <c r="A1042" s="24">
        <v>4952</v>
      </c>
      <c r="B1042">
        <v>36</v>
      </c>
      <c r="C1042">
        <v>159</v>
      </c>
      <c r="D1042">
        <v>23.58368841416759</v>
      </c>
      <c r="E1042">
        <v>30.072207669570794</v>
      </c>
      <c r="F1042">
        <v>45.35072267936836</v>
      </c>
      <c r="I1042">
        <v>1</v>
      </c>
    </row>
    <row r="1043" spans="1:9">
      <c r="A1043" s="24">
        <v>4953</v>
      </c>
      <c r="B1043">
        <v>134</v>
      </c>
      <c r="C1043">
        <v>4826</v>
      </c>
      <c r="D1043">
        <v>43.90828318237886</v>
      </c>
      <c r="E1043">
        <v>56.339754813588485</v>
      </c>
      <c r="F1043">
        <v>85.767518596346179</v>
      </c>
    </row>
    <row r="1044" spans="1:9">
      <c r="A1044" s="24">
        <v>4956</v>
      </c>
      <c r="B1044">
        <v>15</v>
      </c>
      <c r="C1044">
        <v>133</v>
      </c>
      <c r="D1044">
        <v>-15.557727655108121</v>
      </c>
      <c r="E1044">
        <v>-22.046909617103463</v>
      </c>
      <c r="F1044">
        <v>-38.304507108057209</v>
      </c>
    </row>
    <row r="1045" spans="1:9">
      <c r="A1045" s="24">
        <v>4958</v>
      </c>
      <c r="B1045">
        <v>114</v>
      </c>
      <c r="C1045">
        <v>3774</v>
      </c>
      <c r="D1045">
        <v>83.817943823496222</v>
      </c>
      <c r="E1045">
        <v>108.62884979703247</v>
      </c>
      <c r="F1045">
        <v>167.82568208180712</v>
      </c>
      <c r="I1045">
        <v>1</v>
      </c>
    </row>
    <row r="1046" spans="1:9">
      <c r="A1046" s="24">
        <v>4960</v>
      </c>
      <c r="B1046">
        <v>10</v>
      </c>
      <c r="C1046">
        <v>634</v>
      </c>
      <c r="D1046">
        <v>-1.4246529483650683</v>
      </c>
      <c r="E1046">
        <v>-1.6849474237697013</v>
      </c>
      <c r="F1046">
        <v>-2.23959331633763</v>
      </c>
    </row>
    <row r="1047" spans="1:9">
      <c r="A1047" s="24">
        <v>4961</v>
      </c>
      <c r="B1047">
        <v>41</v>
      </c>
      <c r="C1047">
        <v>616</v>
      </c>
      <c r="D1047">
        <v>20.476337899375459</v>
      </c>
      <c r="E1047">
        <v>27.590481917584121</v>
      </c>
      <c r="F1047">
        <v>44.997373822059785</v>
      </c>
      <c r="I1047">
        <v>1</v>
      </c>
    </row>
    <row r="1048" spans="1:9">
      <c r="A1048" s="24">
        <v>4966</v>
      </c>
      <c r="B1048">
        <v>540</v>
      </c>
      <c r="C1048">
        <v>347</v>
      </c>
      <c r="D1048">
        <v>178.64661845649829</v>
      </c>
      <c r="E1048">
        <v>242.21732320691785</v>
      </c>
      <c r="F1048">
        <v>398.28891796620729</v>
      </c>
    </row>
    <row r="1049" spans="1:9">
      <c r="A1049" s="24">
        <v>4967</v>
      </c>
      <c r="B1049">
        <v>29</v>
      </c>
      <c r="C1049">
        <v>1342</v>
      </c>
      <c r="D1049">
        <v>11.267079491292126</v>
      </c>
      <c r="E1049">
        <v>14.983235086713716</v>
      </c>
      <c r="F1049">
        <v>24.006399475964358</v>
      </c>
    </row>
    <row r="1050" spans="1:9">
      <c r="A1050" s="24">
        <v>4968</v>
      </c>
      <c r="B1050">
        <v>124</v>
      </c>
      <c r="C1050">
        <v>9936</v>
      </c>
      <c r="D1050">
        <v>22.161073443807506</v>
      </c>
      <c r="E1050">
        <v>29.641150987283169</v>
      </c>
      <c r="F1050">
        <v>47.866520656513458</v>
      </c>
    </row>
    <row r="1051" spans="1:9">
      <c r="A1051" s="24">
        <v>4971</v>
      </c>
      <c r="B1051">
        <v>64</v>
      </c>
      <c r="C1051">
        <v>209</v>
      </c>
      <c r="D1051">
        <v>14.014546300970919</v>
      </c>
      <c r="E1051">
        <v>18.906075193529965</v>
      </c>
      <c r="F1051">
        <v>30.882528509446999</v>
      </c>
    </row>
    <row r="1052" spans="1:9">
      <c r="A1052" s="24">
        <v>4972</v>
      </c>
      <c r="B1052">
        <v>31</v>
      </c>
      <c r="C1052">
        <v>16</v>
      </c>
      <c r="D1052">
        <v>20.064489091483761</v>
      </c>
      <c r="E1052">
        <v>24.997650694451856</v>
      </c>
      <c r="F1052">
        <v>36.353929434078658</v>
      </c>
      <c r="I1052">
        <v>1</v>
      </c>
    </row>
    <row r="1053" spans="1:9">
      <c r="A1053" s="24">
        <v>4973</v>
      </c>
      <c r="B1053">
        <v>18</v>
      </c>
      <c r="C1053">
        <v>205</v>
      </c>
      <c r="D1053">
        <v>16.452203801405176</v>
      </c>
      <c r="E1053">
        <v>20.278297140829697</v>
      </c>
      <c r="F1053">
        <v>28.97765237999408</v>
      </c>
      <c r="H1053">
        <v>1</v>
      </c>
      <c r="I1053">
        <v>1</v>
      </c>
    </row>
    <row r="1054" spans="1:9">
      <c r="A1054" s="24">
        <v>4974</v>
      </c>
      <c r="B1054">
        <v>46</v>
      </c>
      <c r="C1054">
        <v>341</v>
      </c>
      <c r="D1054">
        <v>38.779297925557429</v>
      </c>
      <c r="E1054">
        <v>50.336213365803175</v>
      </c>
      <c r="F1054">
        <v>77.942119773923494</v>
      </c>
      <c r="H1054">
        <v>1</v>
      </c>
      <c r="I1054">
        <v>1</v>
      </c>
    </row>
    <row r="1055" spans="1:9">
      <c r="A1055" s="24">
        <v>4976</v>
      </c>
      <c r="B1055">
        <v>34</v>
      </c>
      <c r="C1055">
        <v>281</v>
      </c>
      <c r="D1055">
        <v>8.4659203486201555</v>
      </c>
      <c r="E1055">
        <v>12.243776167573371</v>
      </c>
      <c r="F1055">
        <v>21.780596540842573</v>
      </c>
    </row>
    <row r="1056" spans="1:9">
      <c r="A1056" s="24">
        <v>4977</v>
      </c>
      <c r="B1056">
        <v>88</v>
      </c>
      <c r="C1056">
        <v>489</v>
      </c>
      <c r="D1056">
        <v>38.592918328493994</v>
      </c>
      <c r="E1056">
        <v>50.064333919870762</v>
      </c>
      <c r="F1056">
        <v>77.453768928315569</v>
      </c>
    </row>
    <row r="1057" spans="1:9">
      <c r="A1057" s="24">
        <v>4979</v>
      </c>
      <c r="B1057">
        <v>23</v>
      </c>
      <c r="C1057">
        <v>496</v>
      </c>
      <c r="D1057">
        <v>-7.7065491950064651</v>
      </c>
      <c r="E1057">
        <v>-9.1145918921393072</v>
      </c>
      <c r="F1057">
        <v>-12.114905661038829</v>
      </c>
    </row>
    <row r="1058" spans="1:9">
      <c r="A1058" s="24">
        <v>4987</v>
      </c>
      <c r="B1058">
        <v>65</v>
      </c>
      <c r="C1058">
        <v>17</v>
      </c>
      <c r="D1058">
        <v>46.567663435173046</v>
      </c>
      <c r="E1058">
        <v>59.986983242723753</v>
      </c>
      <c r="F1058">
        <v>91.854206060772981</v>
      </c>
      <c r="I1058">
        <v>1</v>
      </c>
    </row>
    <row r="1059" spans="1:9">
      <c r="A1059" s="24">
        <v>4989</v>
      </c>
      <c r="B1059">
        <v>24</v>
      </c>
      <c r="C1059">
        <v>79</v>
      </c>
      <c r="D1059">
        <v>10.985010172697814</v>
      </c>
      <c r="E1059">
        <v>14.728561937012492</v>
      </c>
      <c r="F1059">
        <v>23.862704666801775</v>
      </c>
    </row>
    <row r="1060" spans="1:9">
      <c r="A1060" s="24">
        <v>4991</v>
      </c>
      <c r="B1060">
        <v>61</v>
      </c>
      <c r="C1060">
        <v>447</v>
      </c>
      <c r="D1060">
        <v>23.956982421465163</v>
      </c>
      <c r="E1060">
        <v>32.1919133091669</v>
      </c>
      <c r="F1060">
        <v>52.31013150234908</v>
      </c>
    </row>
    <row r="1061" spans="1:9">
      <c r="A1061" s="24">
        <v>4994</v>
      </c>
      <c r="B1061">
        <v>98</v>
      </c>
      <c r="C1061">
        <v>641</v>
      </c>
      <c r="D1061">
        <v>-4.4384871978895957</v>
      </c>
      <c r="E1061">
        <v>-5.2494311531108941</v>
      </c>
      <c r="F1061">
        <v>-6.9774230098995593</v>
      </c>
    </row>
    <row r="1062" spans="1:9">
      <c r="A1062" s="24">
        <v>4995</v>
      </c>
      <c r="B1062">
        <v>48</v>
      </c>
      <c r="C1062">
        <v>97</v>
      </c>
      <c r="D1062">
        <v>26.803155677435647</v>
      </c>
      <c r="E1062">
        <v>34.706497761471027</v>
      </c>
      <c r="F1062">
        <v>53.550632524724648</v>
      </c>
      <c r="I1062">
        <v>1</v>
      </c>
    </row>
    <row r="1063" spans="1:9">
      <c r="A1063" s="24">
        <v>4999</v>
      </c>
      <c r="B1063">
        <v>44</v>
      </c>
      <c r="C1063">
        <v>75</v>
      </c>
      <c r="D1063">
        <v>45.994356350142844</v>
      </c>
      <c r="E1063">
        <v>59.133797759461359</v>
      </c>
      <c r="F1063">
        <v>90.287934929286536</v>
      </c>
      <c r="G1063">
        <v>1</v>
      </c>
      <c r="H1063">
        <v>1</v>
      </c>
      <c r="I1063">
        <v>1</v>
      </c>
    </row>
    <row r="1064" spans="1:9">
      <c r="A1064" s="24">
        <v>5007</v>
      </c>
      <c r="B1064">
        <v>52</v>
      </c>
      <c r="C1064">
        <v>130</v>
      </c>
      <c r="D1064">
        <v>39.347450995211474</v>
      </c>
      <c r="E1064">
        <v>51.290061022400401</v>
      </c>
      <c r="F1064">
        <v>79.905675257768166</v>
      </c>
      <c r="I1064">
        <v>1</v>
      </c>
    </row>
    <row r="1065" spans="1:9">
      <c r="A1065" s="24">
        <v>5009</v>
      </c>
      <c r="B1065">
        <v>20</v>
      </c>
      <c r="C1065">
        <v>1998</v>
      </c>
      <c r="D1065">
        <v>35.551575433047297</v>
      </c>
      <c r="E1065">
        <v>50.162785530114675</v>
      </c>
      <c r="F1065">
        <v>86.705328890195872</v>
      </c>
      <c r="G1065">
        <v>1</v>
      </c>
      <c r="H1065">
        <v>1</v>
      </c>
      <c r="I1065">
        <v>1</v>
      </c>
    </row>
    <row r="1066" spans="1:9">
      <c r="A1066" s="24">
        <v>5011</v>
      </c>
      <c r="B1066">
        <v>18</v>
      </c>
      <c r="C1066">
        <v>0</v>
      </c>
      <c r="D1066">
        <v>11.166903373160483</v>
      </c>
      <c r="E1066">
        <v>14.650158901356054</v>
      </c>
      <c r="F1066">
        <v>23.034040208152952</v>
      </c>
      <c r="I1066">
        <v>1</v>
      </c>
    </row>
    <row r="1067" spans="1:9">
      <c r="A1067" s="24">
        <v>5013</v>
      </c>
      <c r="B1067">
        <v>26</v>
      </c>
      <c r="C1067">
        <v>45</v>
      </c>
      <c r="D1067">
        <v>24.126121143564497</v>
      </c>
      <c r="E1067">
        <v>31.952894051351322</v>
      </c>
      <c r="F1067">
        <v>50.908797105153326</v>
      </c>
      <c r="H1067">
        <v>1</v>
      </c>
      <c r="I1067">
        <v>1</v>
      </c>
    </row>
    <row r="1068" spans="1:9">
      <c r="A1068" s="24">
        <v>5014</v>
      </c>
      <c r="B1068">
        <v>10</v>
      </c>
      <c r="C1068">
        <v>112</v>
      </c>
      <c r="D1068">
        <v>-0.54263652115717653</v>
      </c>
      <c r="E1068">
        <v>-0.64178016787625691</v>
      </c>
      <c r="F1068">
        <v>-0.85303942084911055</v>
      </c>
    </row>
    <row r="1069" spans="1:9">
      <c r="A1069" s="24">
        <v>5015</v>
      </c>
      <c r="B1069">
        <v>41</v>
      </c>
      <c r="C1069">
        <v>31</v>
      </c>
      <c r="D1069">
        <v>40.814136463576538</v>
      </c>
      <c r="E1069">
        <v>51.744197327938011</v>
      </c>
      <c r="F1069">
        <v>77.348874163406862</v>
      </c>
      <c r="H1069">
        <v>1</v>
      </c>
      <c r="I1069">
        <v>1</v>
      </c>
    </row>
    <row r="1070" spans="1:9">
      <c r="A1070" s="24">
        <v>5016</v>
      </c>
      <c r="B1070">
        <v>32</v>
      </c>
      <c r="C1070">
        <v>15</v>
      </c>
      <c r="D1070">
        <v>28.890143240215576</v>
      </c>
      <c r="E1070">
        <v>36.974625808902005</v>
      </c>
      <c r="F1070">
        <v>56.071347888586004</v>
      </c>
      <c r="H1070">
        <v>1</v>
      </c>
      <c r="I1070">
        <v>1</v>
      </c>
    </row>
    <row r="1071" spans="1:9">
      <c r="A1071" s="24">
        <v>5102</v>
      </c>
      <c r="B1071">
        <v>15</v>
      </c>
      <c r="C1071">
        <v>52</v>
      </c>
      <c r="D1071">
        <v>9.7267942090443231</v>
      </c>
      <c r="E1071">
        <v>12.626268874939782</v>
      </c>
      <c r="F1071">
        <v>19.552513001188757</v>
      </c>
      <c r="I1071">
        <v>1</v>
      </c>
    </row>
    <row r="1072" spans="1:9">
      <c r="A1072" s="24">
        <v>5201</v>
      </c>
      <c r="B1072">
        <v>29</v>
      </c>
      <c r="C1072">
        <v>33</v>
      </c>
      <c r="D1072">
        <v>16.684871788389593</v>
      </c>
      <c r="E1072">
        <v>22.029755730317181</v>
      </c>
      <c r="F1072">
        <v>34.949222991144097</v>
      </c>
      <c r="I1072">
        <v>1</v>
      </c>
    </row>
    <row r="1073" spans="1:9">
      <c r="A1073" s="24">
        <v>5202</v>
      </c>
      <c r="B1073">
        <v>16</v>
      </c>
      <c r="C1073">
        <v>43</v>
      </c>
      <c r="D1073">
        <v>26.508572844069707</v>
      </c>
      <c r="E1073">
        <v>37.450634910418138</v>
      </c>
      <c r="F1073">
        <v>64.830705718338081</v>
      </c>
      <c r="G1073">
        <v>1</v>
      </c>
      <c r="H1073">
        <v>1</v>
      </c>
      <c r="I1073">
        <v>1</v>
      </c>
    </row>
    <row r="1074" spans="1:9">
      <c r="A1074" s="24">
        <v>5203</v>
      </c>
      <c r="B1074">
        <v>82</v>
      </c>
      <c r="C1074">
        <v>154</v>
      </c>
      <c r="D1074">
        <v>49.700531586765564</v>
      </c>
      <c r="E1074">
        <v>65.76298850200439</v>
      </c>
      <c r="F1074">
        <v>104.64228084986064</v>
      </c>
      <c r="I1074">
        <v>1</v>
      </c>
    </row>
    <row r="1075" spans="1:9">
      <c r="A1075" s="24">
        <v>5205</v>
      </c>
      <c r="B1075">
        <v>11</v>
      </c>
      <c r="C1075">
        <v>2</v>
      </c>
      <c r="D1075">
        <v>2.4156244546342296</v>
      </c>
      <c r="E1075">
        <v>3.4637686165446495</v>
      </c>
      <c r="F1075">
        <v>6.1015701021531452</v>
      </c>
    </row>
    <row r="1076" spans="1:9">
      <c r="A1076" s="24">
        <v>5206</v>
      </c>
      <c r="B1076">
        <v>18</v>
      </c>
      <c r="C1076">
        <v>135</v>
      </c>
      <c r="D1076">
        <v>6.3553550596243937</v>
      </c>
      <c r="E1076">
        <v>8.3453137752153204</v>
      </c>
      <c r="F1076">
        <v>13.1379131112786</v>
      </c>
    </row>
    <row r="1077" spans="1:9">
      <c r="A1077" s="24">
        <v>5209</v>
      </c>
      <c r="B1077">
        <v>42</v>
      </c>
      <c r="C1077">
        <v>12</v>
      </c>
      <c r="D1077">
        <v>38.998527214793704</v>
      </c>
      <c r="E1077">
        <v>50.693281864149007</v>
      </c>
      <c r="F1077">
        <v>78.658066367475854</v>
      </c>
      <c r="H1077">
        <v>1</v>
      </c>
      <c r="I1077">
        <v>1</v>
      </c>
    </row>
    <row r="1078" spans="1:9">
      <c r="A1078" s="24">
        <v>5210</v>
      </c>
      <c r="B1078">
        <v>8</v>
      </c>
      <c r="C1078">
        <v>183</v>
      </c>
      <c r="D1078">
        <v>-0.30508015064566879</v>
      </c>
      <c r="E1078">
        <v>-0.36082051735028453</v>
      </c>
      <c r="F1078">
        <v>-0.47959432303665334</v>
      </c>
    </row>
    <row r="1079" spans="1:9">
      <c r="A1079" s="24">
        <v>5211</v>
      </c>
      <c r="B1079">
        <v>15</v>
      </c>
      <c r="C1079">
        <v>17</v>
      </c>
      <c r="D1079">
        <v>2.6709177500603412</v>
      </c>
      <c r="E1079">
        <v>3.7706391254758138</v>
      </c>
      <c r="F1079">
        <v>6.5216309961234922</v>
      </c>
    </row>
    <row r="1080" spans="1:9">
      <c r="A1080" s="24">
        <v>5212</v>
      </c>
      <c r="B1080">
        <v>29</v>
      </c>
      <c r="C1080">
        <v>13</v>
      </c>
      <c r="D1080">
        <v>17.820849491101168</v>
      </c>
      <c r="E1080">
        <v>23.05755568182769</v>
      </c>
      <c r="F1080">
        <v>35.536107511295413</v>
      </c>
      <c r="I1080">
        <v>1</v>
      </c>
    </row>
    <row r="1081" spans="1:9">
      <c r="A1081" s="24">
        <v>5213</v>
      </c>
      <c r="B1081">
        <v>17</v>
      </c>
      <c r="C1081">
        <v>113</v>
      </c>
      <c r="D1081">
        <v>9.888018971826753</v>
      </c>
      <c r="E1081">
        <v>12.223619380130067</v>
      </c>
      <c r="F1081">
        <v>17.552934159228851</v>
      </c>
      <c r="I1081">
        <v>1</v>
      </c>
    </row>
    <row r="1082" spans="1:9">
      <c r="A1082" s="24">
        <v>5215</v>
      </c>
      <c r="B1082">
        <v>48</v>
      </c>
      <c r="C1082">
        <v>1763</v>
      </c>
      <c r="D1082">
        <v>38.722992013169659</v>
      </c>
      <c r="E1082">
        <v>48.627687393330426</v>
      </c>
      <c r="F1082">
        <v>71.618772274310587</v>
      </c>
      <c r="H1082">
        <v>1</v>
      </c>
      <c r="I1082">
        <v>1</v>
      </c>
    </row>
    <row r="1083" spans="1:9">
      <c r="A1083" s="24">
        <v>5220</v>
      </c>
      <c r="B1083">
        <v>32</v>
      </c>
      <c r="C1083">
        <v>335</v>
      </c>
      <c r="D1083">
        <v>27.08523744565418</v>
      </c>
      <c r="E1083">
        <v>34.683072648772075</v>
      </c>
      <c r="F1083">
        <v>52.638281577663406</v>
      </c>
      <c r="H1083">
        <v>1</v>
      </c>
      <c r="I1083">
        <v>1</v>
      </c>
    </row>
    <row r="1084" spans="1:9">
      <c r="A1084" s="24">
        <v>5223</v>
      </c>
      <c r="B1084">
        <v>39</v>
      </c>
      <c r="C1084">
        <v>65</v>
      </c>
      <c r="D1084">
        <v>22.845782418729719</v>
      </c>
      <c r="E1084">
        <v>30.497827328071203</v>
      </c>
      <c r="F1084">
        <v>49.120864080226646</v>
      </c>
      <c r="I1084">
        <v>1</v>
      </c>
    </row>
    <row r="1085" spans="1:9">
      <c r="A1085" s="24">
        <v>5225</v>
      </c>
      <c r="B1085">
        <v>42</v>
      </c>
      <c r="C1085">
        <v>171</v>
      </c>
      <c r="D1085">
        <v>26.165294169101294</v>
      </c>
      <c r="E1085">
        <v>32.980857158795743</v>
      </c>
      <c r="F1085">
        <v>48.859863808282114</v>
      </c>
      <c r="I1085">
        <v>1</v>
      </c>
    </row>
    <row r="1086" spans="1:9">
      <c r="A1086" s="24">
        <v>5227</v>
      </c>
      <c r="B1086">
        <v>17</v>
      </c>
      <c r="C1086">
        <v>239</v>
      </c>
      <c r="D1086">
        <v>0</v>
      </c>
      <c r="E1086">
        <v>0</v>
      </c>
      <c r="F1086">
        <v>0</v>
      </c>
    </row>
    <row r="1087" spans="1:9">
      <c r="A1087" s="24">
        <v>5230</v>
      </c>
      <c r="B1087">
        <v>25</v>
      </c>
      <c r="C1087">
        <v>64</v>
      </c>
      <c r="D1087">
        <v>15.806961082541198</v>
      </c>
      <c r="E1087">
        <v>20.599742857342171</v>
      </c>
      <c r="F1087">
        <v>32.081733831957905</v>
      </c>
      <c r="I1087">
        <v>1</v>
      </c>
    </row>
    <row r="1088" spans="1:9">
      <c r="A1088" s="24">
        <v>5234</v>
      </c>
      <c r="B1088">
        <v>98</v>
      </c>
      <c r="C1088">
        <v>1112</v>
      </c>
      <c r="D1088">
        <v>62.610921525273454</v>
      </c>
      <c r="E1088">
        <v>81.872089649485488</v>
      </c>
      <c r="F1088">
        <v>128.12703663896579</v>
      </c>
      <c r="I1088">
        <v>1</v>
      </c>
    </row>
    <row r="1089" spans="1:9">
      <c r="A1089" s="24">
        <v>5243</v>
      </c>
      <c r="B1089">
        <v>40</v>
      </c>
      <c r="C1089">
        <v>830</v>
      </c>
      <c r="D1089">
        <v>23.429336968437923</v>
      </c>
      <c r="E1089">
        <v>30.677843591046532</v>
      </c>
      <c r="F1089">
        <v>48.101029015481842</v>
      </c>
      <c r="I1089">
        <v>1</v>
      </c>
    </row>
    <row r="1090" spans="1:9">
      <c r="A1090" s="24">
        <v>5245</v>
      </c>
      <c r="B1090">
        <v>39</v>
      </c>
      <c r="C1090">
        <v>23</v>
      </c>
      <c r="D1090">
        <v>32.254904763877093</v>
      </c>
      <c r="E1090">
        <v>41.709313790328359</v>
      </c>
      <c r="F1090">
        <v>64.2283783155018</v>
      </c>
      <c r="H1090">
        <v>1</v>
      </c>
      <c r="I1090">
        <v>1</v>
      </c>
    </row>
    <row r="1091" spans="1:9">
      <c r="A1091" s="24">
        <v>5251</v>
      </c>
      <c r="B1091">
        <v>15</v>
      </c>
      <c r="C1091">
        <v>441</v>
      </c>
      <c r="D1091">
        <v>-3.7461479617960953</v>
      </c>
      <c r="E1091">
        <v>-4.4305964933650479</v>
      </c>
      <c r="F1091">
        <v>-5.889046835496714</v>
      </c>
    </row>
    <row r="1092" spans="1:9">
      <c r="A1092" s="24">
        <v>5258</v>
      </c>
      <c r="B1092">
        <v>27</v>
      </c>
      <c r="C1092">
        <v>4305</v>
      </c>
      <c r="D1092">
        <v>-84.622431195153439</v>
      </c>
      <c r="E1092">
        <v>-118.6696534368042</v>
      </c>
      <c r="F1092">
        <v>-203.6048444446154</v>
      </c>
    </row>
    <row r="1093" spans="1:9">
      <c r="A1093" s="24">
        <v>5263</v>
      </c>
      <c r="B1093">
        <v>185</v>
      </c>
      <c r="C1093">
        <v>291</v>
      </c>
      <c r="D1093">
        <v>74.506399734380366</v>
      </c>
      <c r="E1093">
        <v>100.39199951578391</v>
      </c>
      <c r="F1093">
        <v>163.72878148856194</v>
      </c>
    </row>
    <row r="1094" spans="1:9">
      <c r="A1094" s="24">
        <v>5264</v>
      </c>
      <c r="B1094">
        <v>52</v>
      </c>
      <c r="C1094">
        <v>2873</v>
      </c>
      <c r="D1094">
        <v>-5.5975990778693827</v>
      </c>
      <c r="E1094">
        <v>-6.9554310717727308</v>
      </c>
      <c r="F1094">
        <v>-10.072075353734167</v>
      </c>
    </row>
    <row r="1095" spans="1:9">
      <c r="A1095" s="24">
        <v>5269</v>
      </c>
      <c r="B1095">
        <v>522</v>
      </c>
      <c r="C1095">
        <v>500</v>
      </c>
      <c r="D1095">
        <v>222.2979259544509</v>
      </c>
      <c r="E1095">
        <v>298.18624355789035</v>
      </c>
      <c r="F1095">
        <v>483.39839927655851</v>
      </c>
    </row>
    <row r="1096" spans="1:9">
      <c r="A1096" s="24">
        <v>5272</v>
      </c>
      <c r="B1096">
        <v>25</v>
      </c>
      <c r="C1096">
        <v>484</v>
      </c>
      <c r="D1096">
        <v>-8.1872397004339099</v>
      </c>
      <c r="E1096">
        <v>-11.393718754244098</v>
      </c>
      <c r="F1096">
        <v>-19.366185580771116</v>
      </c>
    </row>
    <row r="1097" spans="1:9">
      <c r="A1097" s="24">
        <v>5274</v>
      </c>
      <c r="B1097">
        <v>734</v>
      </c>
      <c r="C1097">
        <v>396</v>
      </c>
      <c r="D1097">
        <v>358.65868339169776</v>
      </c>
      <c r="E1097">
        <v>481.06388588530945</v>
      </c>
      <c r="F1097">
        <v>779.7924522426058</v>
      </c>
      <c r="I1097">
        <v>1</v>
      </c>
    </row>
    <row r="1098" spans="1:9">
      <c r="A1098" s="24">
        <v>5276</v>
      </c>
      <c r="B1098">
        <v>13</v>
      </c>
      <c r="C1098">
        <v>1</v>
      </c>
      <c r="D1098">
        <v>12.710057275272609</v>
      </c>
      <c r="E1098">
        <v>16.253261204139609</v>
      </c>
      <c r="F1098">
        <v>24.616941282612416</v>
      </c>
      <c r="H1098">
        <v>1</v>
      </c>
      <c r="I1098">
        <v>1</v>
      </c>
    </row>
    <row r="1099" spans="1:9">
      <c r="A1099" s="24">
        <v>5278</v>
      </c>
      <c r="B1099">
        <v>218</v>
      </c>
      <c r="C1099">
        <v>34</v>
      </c>
      <c r="D1099">
        <v>118.24211897241889</v>
      </c>
      <c r="E1099">
        <v>159.9513497258111</v>
      </c>
      <c r="F1099">
        <v>262.22563394033477</v>
      </c>
      <c r="I1099">
        <v>1</v>
      </c>
    </row>
    <row r="1100" spans="1:9">
      <c r="A1100" s="24">
        <v>5281</v>
      </c>
      <c r="B1100">
        <v>33</v>
      </c>
      <c r="C1100">
        <v>528</v>
      </c>
      <c r="D1100">
        <v>12.22860888308613</v>
      </c>
      <c r="E1100">
        <v>16.547787250608291</v>
      </c>
      <c r="F1100">
        <v>27.140684449269941</v>
      </c>
    </row>
    <row r="1101" spans="1:9">
      <c r="A1101" s="24">
        <v>5283</v>
      </c>
      <c r="B1101">
        <v>99</v>
      </c>
      <c r="C1101">
        <v>1195</v>
      </c>
      <c r="D1101">
        <v>57.654227907188876</v>
      </c>
      <c r="E1101">
        <v>74.818387751390404</v>
      </c>
      <c r="F1101">
        <v>115.81099182630282</v>
      </c>
      <c r="I1101">
        <v>1</v>
      </c>
    </row>
    <row r="1102" spans="1:9">
      <c r="A1102" s="24">
        <v>5284</v>
      </c>
      <c r="B1102">
        <v>59</v>
      </c>
      <c r="C1102">
        <v>55</v>
      </c>
      <c r="D1102">
        <v>31.051182273842247</v>
      </c>
      <c r="E1102">
        <v>40.909104180178389</v>
      </c>
      <c r="F1102">
        <v>64.703459664871048</v>
      </c>
      <c r="I1102">
        <v>1</v>
      </c>
    </row>
    <row r="1103" spans="1:9">
      <c r="A1103" s="24">
        <v>5285</v>
      </c>
      <c r="B1103">
        <v>67</v>
      </c>
      <c r="C1103">
        <v>41</v>
      </c>
      <c r="D1103">
        <v>41.350913991968163</v>
      </c>
      <c r="E1103">
        <v>53.822851140120555</v>
      </c>
      <c r="F1103">
        <v>83.675188571440813</v>
      </c>
      <c r="I1103">
        <v>1</v>
      </c>
    </row>
    <row r="1104" spans="1:9">
      <c r="A1104" s="24">
        <v>5287</v>
      </c>
      <c r="B1104">
        <v>262</v>
      </c>
      <c r="C1104">
        <v>0</v>
      </c>
      <c r="D1104">
        <v>200.43273567449125</v>
      </c>
      <c r="E1104">
        <v>260.76624330524709</v>
      </c>
      <c r="F1104">
        <v>405.12993488375662</v>
      </c>
      <c r="I1104">
        <v>1</v>
      </c>
    </row>
    <row r="1105" spans="1:9">
      <c r="A1105" s="24">
        <v>5288</v>
      </c>
      <c r="B1105">
        <v>132</v>
      </c>
      <c r="C1105">
        <v>249</v>
      </c>
      <c r="D1105">
        <v>80.341386057086936</v>
      </c>
      <c r="E1105">
        <v>106.9616704599099</v>
      </c>
      <c r="F1105">
        <v>171.64309205127486</v>
      </c>
      <c r="I1105">
        <v>1</v>
      </c>
    </row>
    <row r="1106" spans="1:9">
      <c r="A1106" s="24">
        <v>5289</v>
      </c>
      <c r="B1106">
        <v>130</v>
      </c>
      <c r="C1106">
        <v>437</v>
      </c>
      <c r="D1106">
        <v>301.85264654342689</v>
      </c>
      <c r="E1106">
        <v>419.94613640260002</v>
      </c>
      <c r="F1106">
        <v>713.53036864626085</v>
      </c>
      <c r="G1106">
        <v>1</v>
      </c>
      <c r="H1106">
        <v>1</v>
      </c>
      <c r="I1106">
        <v>1</v>
      </c>
    </row>
    <row r="1107" spans="1:9">
      <c r="A1107" s="24">
        <v>5291</v>
      </c>
      <c r="B1107">
        <v>20</v>
      </c>
      <c r="C1107">
        <v>261</v>
      </c>
      <c r="D1107">
        <v>10.687868200396457</v>
      </c>
      <c r="E1107">
        <v>14.30806420825205</v>
      </c>
      <c r="F1107">
        <v>23.133329251125772</v>
      </c>
      <c r="I1107">
        <v>1</v>
      </c>
    </row>
    <row r="1108" spans="1:9">
      <c r="A1108" s="24">
        <v>5299</v>
      </c>
      <c r="B1108">
        <v>124</v>
      </c>
      <c r="C1108">
        <v>877</v>
      </c>
      <c r="D1108">
        <v>113.63739969916553</v>
      </c>
      <c r="E1108">
        <v>141.14849142396616</v>
      </c>
      <c r="F1108">
        <v>204.267654558098</v>
      </c>
      <c r="H1108">
        <v>1</v>
      </c>
      <c r="I1108">
        <v>1</v>
      </c>
    </row>
    <row r="1109" spans="1:9">
      <c r="A1109" s="24">
        <v>5301</v>
      </c>
      <c r="B1109">
        <v>22</v>
      </c>
      <c r="C1109">
        <v>46</v>
      </c>
      <c r="D1109">
        <v>-0.64929045948982056</v>
      </c>
      <c r="E1109">
        <v>-0.76792055795140612</v>
      </c>
      <c r="F1109">
        <v>-1.0207023226982892</v>
      </c>
    </row>
    <row r="1110" spans="1:9">
      <c r="A1110" s="24">
        <v>5302</v>
      </c>
      <c r="B1110">
        <v>5</v>
      </c>
      <c r="C1110">
        <v>73</v>
      </c>
      <c r="D1110">
        <v>0</v>
      </c>
      <c r="E1110">
        <v>0</v>
      </c>
      <c r="F1110">
        <v>0</v>
      </c>
    </row>
    <row r="1111" spans="1:9">
      <c r="A1111" s="24">
        <v>5304</v>
      </c>
      <c r="B1111">
        <v>3</v>
      </c>
      <c r="C1111">
        <v>17</v>
      </c>
      <c r="D1111">
        <v>0</v>
      </c>
      <c r="E1111">
        <v>0</v>
      </c>
      <c r="F1111">
        <v>0</v>
      </c>
    </row>
    <row r="1112" spans="1:9">
      <c r="A1112" s="24">
        <v>5305</v>
      </c>
      <c r="B1112">
        <v>32</v>
      </c>
      <c r="C1112">
        <v>1579</v>
      </c>
      <c r="D1112">
        <v>45.204943274127004</v>
      </c>
      <c r="E1112">
        <v>57.906544143666068</v>
      </c>
      <c r="F1112">
        <v>87.93204835220287</v>
      </c>
      <c r="G1112">
        <v>1</v>
      </c>
      <c r="H1112">
        <v>1</v>
      </c>
      <c r="I1112">
        <v>1</v>
      </c>
    </row>
    <row r="1113" spans="1:9">
      <c r="A1113" s="24">
        <v>5306</v>
      </c>
      <c r="B1113">
        <v>104</v>
      </c>
      <c r="C1113">
        <v>21</v>
      </c>
      <c r="D1113">
        <v>62.091609499221001</v>
      </c>
      <c r="E1113">
        <v>82.752675752931921</v>
      </c>
      <c r="F1113">
        <v>132.9867223945875</v>
      </c>
      <c r="I1113">
        <v>1</v>
      </c>
    </row>
    <row r="1114" spans="1:9">
      <c r="A1114" s="24">
        <v>5309</v>
      </c>
      <c r="B1114">
        <v>7</v>
      </c>
      <c r="C1114">
        <v>204</v>
      </c>
      <c r="D1114">
        <v>0</v>
      </c>
      <c r="E1114">
        <v>0</v>
      </c>
      <c r="F1114">
        <v>0</v>
      </c>
    </row>
    <row r="1115" spans="1:9">
      <c r="A1115" s="24">
        <v>5310</v>
      </c>
      <c r="B1115">
        <v>28</v>
      </c>
      <c r="C1115">
        <v>59</v>
      </c>
      <c r="D1115">
        <v>14.245941130818267</v>
      </c>
      <c r="E1115">
        <v>16.848778388514667</v>
      </c>
      <c r="F1115">
        <v>22.395008256666472</v>
      </c>
    </row>
    <row r="1116" spans="1:9">
      <c r="A1116" s="24">
        <v>5312</v>
      </c>
      <c r="B1116">
        <v>66</v>
      </c>
      <c r="C1116">
        <v>22</v>
      </c>
      <c r="D1116">
        <v>46.674949171838591</v>
      </c>
      <c r="E1116">
        <v>61.135057352899622</v>
      </c>
      <c r="F1116">
        <v>95.900565453162542</v>
      </c>
      <c r="I1116">
        <v>1</v>
      </c>
    </row>
    <row r="1117" spans="1:9">
      <c r="A1117" s="24">
        <v>5314</v>
      </c>
      <c r="B1117">
        <v>5</v>
      </c>
      <c r="C1117">
        <v>6</v>
      </c>
      <c r="D1117">
        <v>0.12765495085465439</v>
      </c>
      <c r="E1117">
        <v>0.18304468298813187</v>
      </c>
      <c r="F1117">
        <v>0.32244069645524748</v>
      </c>
    </row>
    <row r="1118" spans="1:9">
      <c r="A1118" s="24">
        <v>5315</v>
      </c>
      <c r="B1118">
        <v>18</v>
      </c>
      <c r="C1118">
        <v>274</v>
      </c>
      <c r="D1118">
        <v>10.470953915098759</v>
      </c>
      <c r="E1118">
        <v>13.803509262785042</v>
      </c>
      <c r="F1118">
        <v>21.850581805270949</v>
      </c>
      <c r="I1118">
        <v>1</v>
      </c>
    </row>
    <row r="1119" spans="1:9">
      <c r="A1119" s="24">
        <v>5317</v>
      </c>
      <c r="B1119">
        <v>53</v>
      </c>
      <c r="C1119">
        <v>383</v>
      </c>
      <c r="D1119">
        <v>42.408119672541254</v>
      </c>
      <c r="E1119">
        <v>52.937830369251671</v>
      </c>
      <c r="F1119">
        <v>77.228545601910241</v>
      </c>
      <c r="I1119">
        <v>1</v>
      </c>
    </row>
    <row r="1120" spans="1:9">
      <c r="A1120" s="24">
        <v>5321</v>
      </c>
      <c r="B1120">
        <v>38</v>
      </c>
      <c r="C1120">
        <v>12</v>
      </c>
      <c r="D1120">
        <v>12.569102853381354</v>
      </c>
      <c r="E1120">
        <v>18.022861094216058</v>
      </c>
      <c r="F1120">
        <v>31.748007035593595</v>
      </c>
    </row>
    <row r="1121" spans="1:9">
      <c r="A1121" s="24">
        <v>5324</v>
      </c>
      <c r="B1121">
        <v>10</v>
      </c>
      <c r="C1121">
        <v>1187</v>
      </c>
      <c r="D1121">
        <v>0.64809436587747615</v>
      </c>
      <c r="E1121">
        <v>0.92930377517051566</v>
      </c>
      <c r="F1121">
        <v>1.6370066127727949</v>
      </c>
    </row>
    <row r="1122" spans="1:9">
      <c r="A1122" s="24">
        <v>5328</v>
      </c>
      <c r="B1122">
        <v>7</v>
      </c>
      <c r="C1122">
        <v>152</v>
      </c>
      <c r="D1122">
        <v>1.4929166635697402</v>
      </c>
      <c r="E1122">
        <v>2.1261021775263296</v>
      </c>
      <c r="F1122">
        <v>3.7155068995638874</v>
      </c>
    </row>
    <row r="1123" spans="1:9">
      <c r="A1123" s="24">
        <v>5340</v>
      </c>
      <c r="B1123">
        <v>41</v>
      </c>
      <c r="C1123">
        <v>1867</v>
      </c>
      <c r="D1123">
        <v>4.3928321323513426</v>
      </c>
      <c r="E1123">
        <v>6.2988905616504205</v>
      </c>
      <c r="F1123">
        <v>11.095753378018811</v>
      </c>
    </row>
    <row r="1124" spans="1:9">
      <c r="A1124" s="24">
        <v>5344</v>
      </c>
      <c r="B1124">
        <v>6</v>
      </c>
      <c r="C1124">
        <v>3</v>
      </c>
      <c r="D1124">
        <v>0</v>
      </c>
      <c r="E1124">
        <v>0</v>
      </c>
      <c r="F1124">
        <v>0</v>
      </c>
    </row>
    <row r="1125" spans="1:9">
      <c r="A1125" s="24">
        <v>5345</v>
      </c>
      <c r="B1125">
        <v>5</v>
      </c>
      <c r="C1125">
        <v>17</v>
      </c>
      <c r="D1125">
        <v>-0.2264866842136857</v>
      </c>
      <c r="E1125">
        <v>-0.26786745187446293</v>
      </c>
      <c r="F1125">
        <v>-0.35604324883933891</v>
      </c>
    </row>
    <row r="1126" spans="1:9">
      <c r="A1126" s="24">
        <v>5347</v>
      </c>
      <c r="B1126">
        <v>64</v>
      </c>
      <c r="C1126">
        <v>3474</v>
      </c>
      <c r="D1126">
        <v>43.020308335483719</v>
      </c>
      <c r="E1126">
        <v>55.937633541726697</v>
      </c>
      <c r="F1126">
        <v>86.832571076279663</v>
      </c>
      <c r="I1126">
        <v>1</v>
      </c>
    </row>
    <row r="1127" spans="1:9">
      <c r="A1127" s="24">
        <v>5348</v>
      </c>
      <c r="B1127">
        <v>10</v>
      </c>
      <c r="C1127">
        <v>4</v>
      </c>
      <c r="D1127">
        <v>1.3256475665675649</v>
      </c>
      <c r="E1127">
        <v>1.9008486310306001</v>
      </c>
      <c r="F1127">
        <v>3.3484226170352622</v>
      </c>
    </row>
    <row r="1128" spans="1:9">
      <c r="A1128" s="24">
        <v>5349</v>
      </c>
      <c r="B1128">
        <v>32</v>
      </c>
      <c r="C1128">
        <v>1315</v>
      </c>
      <c r="D1128">
        <v>11.545814977987513</v>
      </c>
      <c r="E1128">
        <v>15.807681940110051</v>
      </c>
      <c r="F1128">
        <v>26.323400590466502</v>
      </c>
    </row>
    <row r="1129" spans="1:9">
      <c r="A1129" s="24">
        <v>5351</v>
      </c>
      <c r="B1129">
        <v>12</v>
      </c>
      <c r="C1129">
        <v>1939</v>
      </c>
      <c r="D1129">
        <v>-1.1040938843812698</v>
      </c>
      <c r="E1129">
        <v>-1.3058198828163938</v>
      </c>
      <c r="F1129">
        <v>-1.7356657190842437</v>
      </c>
    </row>
    <row r="1130" spans="1:9">
      <c r="A1130" s="24">
        <v>5353</v>
      </c>
      <c r="B1130">
        <v>18</v>
      </c>
      <c r="C1130">
        <v>69</v>
      </c>
      <c r="D1130">
        <v>11.214215034175979</v>
      </c>
      <c r="E1130">
        <v>14.441568248101627</v>
      </c>
      <c r="F1130">
        <v>22.103865484945366</v>
      </c>
      <c r="I1130">
        <v>1</v>
      </c>
    </row>
    <row r="1131" spans="1:9">
      <c r="A1131" s="24">
        <v>5355</v>
      </c>
      <c r="B1131">
        <v>5</v>
      </c>
      <c r="C1131">
        <v>36</v>
      </c>
      <c r="D1131">
        <v>-0.3191907927031109</v>
      </c>
      <c r="E1131">
        <v>-0.37750927653876515</v>
      </c>
      <c r="F1131">
        <v>-0.50177663745740164</v>
      </c>
    </row>
    <row r="1132" spans="1:9">
      <c r="A1132" s="24">
        <v>5356</v>
      </c>
      <c r="B1132">
        <v>35</v>
      </c>
      <c r="C1132">
        <v>5286</v>
      </c>
      <c r="D1132">
        <v>29.581312473530481</v>
      </c>
      <c r="E1132">
        <v>38.352989275811744</v>
      </c>
      <c r="F1132">
        <v>59.287811664246597</v>
      </c>
      <c r="H1132">
        <v>1</v>
      </c>
      <c r="I1132">
        <v>1</v>
      </c>
    </row>
    <row r="1133" spans="1:9">
      <c r="A1133" s="24">
        <v>5364</v>
      </c>
      <c r="B1133">
        <v>20</v>
      </c>
      <c r="C1133">
        <v>1</v>
      </c>
      <c r="D1133">
        <v>-5.5644049558857018</v>
      </c>
      <c r="E1133">
        <v>-6.5810622902865994</v>
      </c>
      <c r="F1133">
        <v>-8.7473964539216347</v>
      </c>
    </row>
    <row r="1134" spans="1:9">
      <c r="A1134" s="24">
        <v>5371</v>
      </c>
      <c r="B1134">
        <v>42</v>
      </c>
      <c r="C1134">
        <v>697</v>
      </c>
      <c r="D1134">
        <v>41.632151626885289</v>
      </c>
      <c r="E1134">
        <v>53.18572246466757</v>
      </c>
      <c r="F1134">
        <v>80.434914064803792</v>
      </c>
      <c r="H1134">
        <v>1</v>
      </c>
      <c r="I1134">
        <v>1</v>
      </c>
    </row>
    <row r="1135" spans="1:9">
      <c r="A1135" s="24">
        <v>5381</v>
      </c>
      <c r="B1135">
        <v>4</v>
      </c>
      <c r="C1135">
        <v>39</v>
      </c>
      <c r="D1135">
        <v>-5.7706584194039916</v>
      </c>
      <c r="E1135">
        <v>-8.2745583617455498</v>
      </c>
      <c r="F1135">
        <v>-14.57597302181029</v>
      </c>
    </row>
    <row r="1136" spans="1:9">
      <c r="A1136" s="24">
        <v>5383</v>
      </c>
      <c r="B1136">
        <v>14</v>
      </c>
      <c r="C1136">
        <v>176</v>
      </c>
      <c r="D1136">
        <v>-0.32264150397557706</v>
      </c>
      <c r="E1136">
        <v>-0.38159045790675178</v>
      </c>
      <c r="F1136">
        <v>-0.50720124975423853</v>
      </c>
    </row>
    <row r="1137" spans="1:9">
      <c r="A1137" s="24">
        <v>5386</v>
      </c>
      <c r="B1137">
        <v>36</v>
      </c>
      <c r="C1137">
        <v>74</v>
      </c>
      <c r="D1137">
        <v>24.444291155718492</v>
      </c>
      <c r="E1137">
        <v>30.501420228518722</v>
      </c>
      <c r="F1137">
        <v>44.468442151202616</v>
      </c>
      <c r="I1137">
        <v>1</v>
      </c>
    </row>
    <row r="1138" spans="1:9">
      <c r="A1138" s="24">
        <v>5388</v>
      </c>
      <c r="B1138">
        <v>77</v>
      </c>
      <c r="C1138">
        <v>12556</v>
      </c>
      <c r="D1138">
        <v>36.506316835755229</v>
      </c>
      <c r="E1138">
        <v>48.359178370385266</v>
      </c>
      <c r="F1138">
        <v>77.069675536141034</v>
      </c>
      <c r="I1138">
        <v>1</v>
      </c>
    </row>
    <row r="1139" spans="1:9">
      <c r="A1139" s="24">
        <v>5392</v>
      </c>
      <c r="B1139">
        <v>35</v>
      </c>
      <c r="C1139">
        <v>1423</v>
      </c>
      <c r="D1139">
        <v>63.381438748597176</v>
      </c>
      <c r="E1139">
        <v>79.886977251031965</v>
      </c>
      <c r="F1139">
        <v>118.3399144653595</v>
      </c>
      <c r="G1139">
        <v>1</v>
      </c>
      <c r="H1139">
        <v>1</v>
      </c>
      <c r="I1139">
        <v>1</v>
      </c>
    </row>
    <row r="1140" spans="1:9">
      <c r="A1140" s="24">
        <v>5398</v>
      </c>
      <c r="B1140">
        <v>21</v>
      </c>
      <c r="C1140">
        <v>21</v>
      </c>
      <c r="D1140">
        <v>-0.48280015978148194</v>
      </c>
      <c r="E1140">
        <v>-0.57101126723738049</v>
      </c>
      <c r="F1140">
        <v>-0.75897502771760583</v>
      </c>
    </row>
    <row r="1141" spans="1:9">
      <c r="A1141" s="24">
        <v>5403</v>
      </c>
      <c r="B1141">
        <v>38</v>
      </c>
      <c r="C1141">
        <v>53</v>
      </c>
      <c r="D1141">
        <v>32.908773239310392</v>
      </c>
      <c r="E1141">
        <v>42.428999510987211</v>
      </c>
      <c r="F1141">
        <v>65.052557485178497</v>
      </c>
      <c r="H1141">
        <v>1</v>
      </c>
      <c r="I1141">
        <v>1</v>
      </c>
    </row>
    <row r="1142" spans="1:9">
      <c r="A1142" s="24">
        <v>5410</v>
      </c>
      <c r="B1142">
        <v>18</v>
      </c>
      <c r="C1142">
        <v>93</v>
      </c>
      <c r="D1142">
        <v>13.64327006080519</v>
      </c>
      <c r="E1142">
        <v>17.386578374438503</v>
      </c>
      <c r="F1142">
        <v>26.196374447338904</v>
      </c>
      <c r="I1142">
        <v>1</v>
      </c>
    </row>
    <row r="1143" spans="1:9">
      <c r="A1143" s="24">
        <v>5425</v>
      </c>
      <c r="B1143">
        <v>50</v>
      </c>
      <c r="C1143">
        <v>1494</v>
      </c>
      <c r="D1143">
        <v>62.136243816730605</v>
      </c>
      <c r="E1143">
        <v>81.150970311202457</v>
      </c>
      <c r="F1143">
        <v>126.7743537857192</v>
      </c>
      <c r="G1143">
        <v>1</v>
      </c>
      <c r="H1143">
        <v>1</v>
      </c>
      <c r="I1143">
        <v>1</v>
      </c>
    </row>
    <row r="1144" spans="1:9">
      <c r="A1144" s="24">
        <v>5426</v>
      </c>
      <c r="B1144">
        <v>14</v>
      </c>
      <c r="C1144">
        <v>137</v>
      </c>
      <c r="D1144">
        <v>11.629278658656478</v>
      </c>
      <c r="E1144">
        <v>15.31541195428164</v>
      </c>
      <c r="F1144">
        <v>24.210495562879316</v>
      </c>
      <c r="H1144">
        <v>1</v>
      </c>
      <c r="I1144">
        <v>1</v>
      </c>
    </row>
    <row r="1145" spans="1:9">
      <c r="A1145" s="24">
        <v>5432</v>
      </c>
      <c r="B1145">
        <v>19</v>
      </c>
      <c r="C1145">
        <v>13</v>
      </c>
      <c r="D1145">
        <v>4.2369335227717189</v>
      </c>
      <c r="E1145">
        <v>5.9434398153849397</v>
      </c>
      <c r="F1145">
        <v>10.20108682803188</v>
      </c>
    </row>
    <row r="1146" spans="1:9">
      <c r="A1146" s="24">
        <v>5434</v>
      </c>
      <c r="B1146">
        <v>87</v>
      </c>
      <c r="C1146">
        <v>467</v>
      </c>
      <c r="D1146">
        <v>73.228280699970483</v>
      </c>
      <c r="E1146">
        <v>95.462837374022939</v>
      </c>
      <c r="F1146">
        <v>148.74235048126968</v>
      </c>
      <c r="H1146">
        <v>1</v>
      </c>
      <c r="I1146">
        <v>1</v>
      </c>
    </row>
    <row r="1147" spans="1:9">
      <c r="A1147" s="24">
        <v>5438</v>
      </c>
      <c r="B1147">
        <v>14</v>
      </c>
      <c r="C1147">
        <v>62</v>
      </c>
      <c r="D1147">
        <v>12.411614686026891</v>
      </c>
      <c r="E1147">
        <v>15.984380775436755</v>
      </c>
      <c r="F1147">
        <v>24.467091605159823</v>
      </c>
      <c r="H1147">
        <v>1</v>
      </c>
      <c r="I1147">
        <v>1</v>
      </c>
    </row>
    <row r="1148" spans="1:9">
      <c r="A1148" s="24">
        <v>5439</v>
      </c>
      <c r="B1148">
        <v>45</v>
      </c>
      <c r="C1148">
        <v>348</v>
      </c>
      <c r="D1148">
        <v>32.225292941923854</v>
      </c>
      <c r="E1148">
        <v>41.694641403448173</v>
      </c>
      <c r="F1148">
        <v>64.259100795962581</v>
      </c>
      <c r="I1148">
        <v>1</v>
      </c>
    </row>
    <row r="1149" spans="1:9">
      <c r="A1149" s="24">
        <v>5443</v>
      </c>
      <c r="B1149">
        <v>20</v>
      </c>
      <c r="C1149">
        <v>1102</v>
      </c>
      <c r="D1149">
        <v>23.980420785306485</v>
      </c>
      <c r="E1149">
        <v>30.075113389680777</v>
      </c>
      <c r="F1149">
        <v>44.203690155387399</v>
      </c>
      <c r="G1149">
        <v>1</v>
      </c>
      <c r="H1149">
        <v>1</v>
      </c>
      <c r="I1149">
        <v>1</v>
      </c>
    </row>
    <row r="1150" spans="1:9">
      <c r="A1150" s="24">
        <v>5450</v>
      </c>
      <c r="B1150">
        <v>22</v>
      </c>
      <c r="C1150">
        <v>184</v>
      </c>
      <c r="D1150">
        <v>-1.3403769839738711</v>
      </c>
      <c r="E1150">
        <v>-1.9219691713753846</v>
      </c>
      <c r="F1150">
        <v>-3.3856273127800982</v>
      </c>
    </row>
    <row r="1151" spans="1:9">
      <c r="A1151" s="24">
        <v>5452</v>
      </c>
      <c r="B1151">
        <v>7</v>
      </c>
      <c r="C1151">
        <v>203</v>
      </c>
      <c r="D1151">
        <v>4.4559211847966713</v>
      </c>
      <c r="E1151">
        <v>5.980441056546316</v>
      </c>
      <c r="F1151">
        <v>9.7023624340413086</v>
      </c>
      <c r="I1151">
        <v>1</v>
      </c>
    </row>
    <row r="1152" spans="1:9">
      <c r="A1152" s="24">
        <v>5455</v>
      </c>
      <c r="B1152">
        <v>24</v>
      </c>
      <c r="C1152">
        <v>5</v>
      </c>
      <c r="D1152">
        <v>6.4641100388818398</v>
      </c>
      <c r="E1152">
        <v>9.2688999913111161</v>
      </c>
      <c r="F1152">
        <v>16.327546475448138</v>
      </c>
    </row>
    <row r="1153" spans="1:9">
      <c r="A1153" s="24">
        <v>5457</v>
      </c>
      <c r="B1153">
        <v>67</v>
      </c>
      <c r="C1153">
        <v>1885</v>
      </c>
      <c r="D1153">
        <v>32.636263046279574</v>
      </c>
      <c r="E1153">
        <v>46.533582319586436</v>
      </c>
      <c r="F1153">
        <v>81.434156531593473</v>
      </c>
      <c r="I1153">
        <v>1</v>
      </c>
    </row>
    <row r="1154" spans="1:9">
      <c r="A1154" s="24">
        <v>5460</v>
      </c>
      <c r="B1154">
        <v>11</v>
      </c>
      <c r="C1154">
        <v>54</v>
      </c>
      <c r="D1154">
        <v>6.6542700668552364</v>
      </c>
      <c r="E1154">
        <v>8.823583939083079</v>
      </c>
      <c r="F1154">
        <v>14.081489561007675</v>
      </c>
      <c r="I1154">
        <v>1</v>
      </c>
    </row>
    <row r="1155" spans="1:9">
      <c r="A1155" s="24">
        <v>5464</v>
      </c>
      <c r="B1155">
        <v>17</v>
      </c>
      <c r="C1155">
        <v>73</v>
      </c>
      <c r="D1155">
        <v>15.511021645630763</v>
      </c>
      <c r="E1155">
        <v>19.406355716921116</v>
      </c>
      <c r="F1155">
        <v>28.413991691411084</v>
      </c>
      <c r="H1155">
        <v>1</v>
      </c>
      <c r="I1155">
        <v>1</v>
      </c>
    </row>
    <row r="1156" spans="1:9">
      <c r="A1156" s="24">
        <v>5465</v>
      </c>
      <c r="B1156">
        <v>17</v>
      </c>
      <c r="C1156">
        <v>13</v>
      </c>
      <c r="D1156">
        <v>5.4289908724924612</v>
      </c>
      <c r="E1156">
        <v>7.4846429916592516</v>
      </c>
      <c r="F1156">
        <v>12.573796075699098</v>
      </c>
    </row>
    <row r="1157" spans="1:9">
      <c r="A1157" s="24">
        <v>5468</v>
      </c>
      <c r="B1157">
        <v>3</v>
      </c>
      <c r="C1157">
        <v>3</v>
      </c>
      <c r="D1157">
        <v>0</v>
      </c>
      <c r="E1157">
        <v>0</v>
      </c>
      <c r="F1157">
        <v>0</v>
      </c>
    </row>
    <row r="1158" spans="1:9">
      <c r="A1158" s="24">
        <v>5469</v>
      </c>
      <c r="B1158">
        <v>38</v>
      </c>
      <c r="C1158">
        <v>33869</v>
      </c>
      <c r="D1158">
        <v>20.268932528429445</v>
      </c>
      <c r="E1158">
        <v>26.483676625618685</v>
      </c>
      <c r="F1158">
        <v>41.39997291135937</v>
      </c>
      <c r="I1158">
        <v>1</v>
      </c>
    </row>
    <row r="1159" spans="1:9">
      <c r="A1159" s="24">
        <v>5471</v>
      </c>
      <c r="B1159">
        <v>32</v>
      </c>
      <c r="C1159">
        <v>479</v>
      </c>
      <c r="D1159">
        <v>22.956944067507123</v>
      </c>
      <c r="E1159">
        <v>29.601147918803392</v>
      </c>
      <c r="F1159">
        <v>45.391463540376279</v>
      </c>
      <c r="I1159">
        <v>1</v>
      </c>
    </row>
    <row r="1160" spans="1:9">
      <c r="A1160" s="24">
        <v>5474</v>
      </c>
      <c r="B1160">
        <v>92</v>
      </c>
      <c r="C1160">
        <v>626</v>
      </c>
      <c r="D1160">
        <v>62.003899637290488</v>
      </c>
      <c r="E1160">
        <v>79.7062462646158</v>
      </c>
      <c r="F1160">
        <v>121.67468545878657</v>
      </c>
      <c r="I1160">
        <v>1</v>
      </c>
    </row>
    <row r="1161" spans="1:9">
      <c r="A1161" s="24">
        <v>5475</v>
      </c>
      <c r="B1161">
        <v>7</v>
      </c>
      <c r="C1161">
        <v>324</v>
      </c>
      <c r="D1161">
        <v>0</v>
      </c>
      <c r="E1161">
        <v>0</v>
      </c>
      <c r="F1161">
        <v>0</v>
      </c>
    </row>
    <row r="1162" spans="1:9">
      <c r="A1162" s="24">
        <v>5478</v>
      </c>
      <c r="B1162">
        <v>72</v>
      </c>
      <c r="C1162">
        <v>34</v>
      </c>
      <c r="D1162">
        <v>42.948805216172147</v>
      </c>
      <c r="E1162">
        <v>57.48651483644003</v>
      </c>
      <c r="F1162">
        <v>92.922783379386289</v>
      </c>
      <c r="I1162">
        <v>1</v>
      </c>
    </row>
    <row r="1163" spans="1:9">
      <c r="A1163" s="24">
        <v>5481</v>
      </c>
      <c r="B1163">
        <v>18</v>
      </c>
      <c r="C1163">
        <v>129</v>
      </c>
      <c r="D1163">
        <v>6.7308432241222507</v>
      </c>
      <c r="E1163">
        <v>9.4987398348324543</v>
      </c>
      <c r="F1163">
        <v>16.421709288980779</v>
      </c>
    </row>
    <row r="1164" spans="1:9">
      <c r="A1164" s="24">
        <v>5483</v>
      </c>
      <c r="B1164">
        <v>88</v>
      </c>
      <c r="C1164">
        <v>3592</v>
      </c>
      <c r="D1164">
        <v>190.14891728756658</v>
      </c>
      <c r="E1164">
        <v>244.93496354501761</v>
      </c>
      <c r="F1164">
        <v>375.0331450829724</v>
      </c>
      <c r="G1164">
        <v>1</v>
      </c>
      <c r="H1164">
        <v>1</v>
      </c>
      <c r="I1164">
        <v>1</v>
      </c>
    </row>
    <row r="1165" spans="1:9">
      <c r="A1165" s="24">
        <v>5484</v>
      </c>
      <c r="B1165">
        <v>6</v>
      </c>
      <c r="C1165">
        <v>331</v>
      </c>
      <c r="D1165">
        <v>0</v>
      </c>
      <c r="E1165">
        <v>0</v>
      </c>
      <c r="F1165">
        <v>0</v>
      </c>
    </row>
    <row r="1166" spans="1:9">
      <c r="A1166" s="24">
        <v>5487</v>
      </c>
      <c r="B1166">
        <v>34</v>
      </c>
      <c r="C1166">
        <v>17</v>
      </c>
      <c r="D1166">
        <v>16.297303424926685</v>
      </c>
      <c r="E1166">
        <v>21.139714847652503</v>
      </c>
      <c r="F1166">
        <v>32.700829161018035</v>
      </c>
    </row>
    <row r="1167" spans="1:9">
      <c r="A1167" s="24">
        <v>5488</v>
      </c>
      <c r="B1167">
        <v>9</v>
      </c>
      <c r="C1167">
        <v>309</v>
      </c>
      <c r="D1167">
        <v>4.6966268622292064</v>
      </c>
      <c r="E1167">
        <v>6.28239185351371</v>
      </c>
      <c r="F1167">
        <v>10.146323359695414</v>
      </c>
      <c r="I1167">
        <v>1</v>
      </c>
    </row>
    <row r="1168" spans="1:9">
      <c r="A1168" s="24">
        <v>5489</v>
      </c>
      <c r="B1168">
        <v>37</v>
      </c>
      <c r="C1168">
        <v>83</v>
      </c>
      <c r="D1168">
        <v>26.024053346159867</v>
      </c>
      <c r="E1168">
        <v>33.762478055436063</v>
      </c>
      <c r="F1168">
        <v>52.240159534276742</v>
      </c>
      <c r="I1168">
        <v>1</v>
      </c>
    </row>
    <row r="1169" spans="1:9">
      <c r="A1169" s="24">
        <v>5490</v>
      </c>
      <c r="B1169">
        <v>29</v>
      </c>
      <c r="C1169">
        <v>284</v>
      </c>
      <c r="D1169">
        <v>7.617654613625076</v>
      </c>
      <c r="E1169">
        <v>10.078330368430279</v>
      </c>
      <c r="F1169">
        <v>16.03394861179094</v>
      </c>
    </row>
    <row r="1170" spans="1:9">
      <c r="A1170" s="24">
        <v>5493</v>
      </c>
      <c r="B1170">
        <v>30</v>
      </c>
      <c r="C1170">
        <v>47</v>
      </c>
      <c r="D1170">
        <v>50.856550364081663</v>
      </c>
      <c r="E1170">
        <v>65.724238938099646</v>
      </c>
      <c r="F1170">
        <v>101.1207070742868</v>
      </c>
      <c r="G1170">
        <v>1</v>
      </c>
      <c r="H1170">
        <v>1</v>
      </c>
      <c r="I1170">
        <v>1</v>
      </c>
    </row>
    <row r="1171" spans="1:9">
      <c r="A1171" s="24">
        <v>5498</v>
      </c>
      <c r="B1171">
        <v>8</v>
      </c>
      <c r="C1171">
        <v>102</v>
      </c>
      <c r="D1171">
        <v>1.9954789142238964</v>
      </c>
      <c r="E1171">
        <v>2.7818618721116279</v>
      </c>
      <c r="F1171">
        <v>4.7386073666461046</v>
      </c>
    </row>
    <row r="1172" spans="1:9">
      <c r="A1172" s="24">
        <v>5508</v>
      </c>
      <c r="B1172">
        <v>34</v>
      </c>
      <c r="C1172">
        <v>144</v>
      </c>
      <c r="D1172">
        <v>25.442621513486657</v>
      </c>
      <c r="E1172">
        <v>32.496142046942325</v>
      </c>
      <c r="F1172">
        <v>49.128767629345816</v>
      </c>
      <c r="I1172">
        <v>1</v>
      </c>
    </row>
    <row r="1173" spans="1:9">
      <c r="A1173" s="24">
        <v>5511</v>
      </c>
      <c r="B1173">
        <v>29</v>
      </c>
      <c r="C1173">
        <v>110</v>
      </c>
      <c r="D1173">
        <v>22.802608810695713</v>
      </c>
      <c r="E1173">
        <v>29.175327865508613</v>
      </c>
      <c r="F1173">
        <v>44.225023495283807</v>
      </c>
      <c r="H1173">
        <v>1</v>
      </c>
      <c r="I1173">
        <v>1</v>
      </c>
    </row>
    <row r="1174" spans="1:9">
      <c r="A1174" s="24">
        <v>5512</v>
      </c>
      <c r="B1174">
        <v>9</v>
      </c>
      <c r="C1174">
        <v>484</v>
      </c>
      <c r="D1174">
        <v>19.455127233811545</v>
      </c>
      <c r="E1174">
        <v>25.858683055318394</v>
      </c>
      <c r="F1174">
        <v>41.402221162082284</v>
      </c>
      <c r="G1174">
        <v>1</v>
      </c>
      <c r="H1174">
        <v>1</v>
      </c>
      <c r="I1174">
        <v>1</v>
      </c>
    </row>
    <row r="1175" spans="1:9">
      <c r="A1175" s="24">
        <v>5514</v>
      </c>
      <c r="B1175">
        <v>16</v>
      </c>
      <c r="C1175">
        <v>3</v>
      </c>
      <c r="D1175">
        <v>1.0520561918843163</v>
      </c>
      <c r="E1175">
        <v>1.3889837210025573</v>
      </c>
      <c r="F1175">
        <v>2.2033584523834397</v>
      </c>
    </row>
    <row r="1176" spans="1:9">
      <c r="A1176" s="24">
        <v>5515</v>
      </c>
      <c r="B1176">
        <v>10</v>
      </c>
      <c r="C1176">
        <v>406</v>
      </c>
      <c r="D1176">
        <v>11.295729672183782</v>
      </c>
      <c r="E1176">
        <v>14.452709150927161</v>
      </c>
      <c r="F1176">
        <v>21.908228159621906</v>
      </c>
      <c r="G1176">
        <v>1</v>
      </c>
      <c r="H1176">
        <v>1</v>
      </c>
      <c r="I1176">
        <v>1</v>
      </c>
    </row>
    <row r="1177" spans="1:9">
      <c r="A1177" s="24">
        <v>5516</v>
      </c>
      <c r="B1177">
        <v>16</v>
      </c>
      <c r="C1177">
        <v>16</v>
      </c>
      <c r="D1177">
        <v>3.4024954208567495</v>
      </c>
      <c r="E1177">
        <v>4.8788448196452068</v>
      </c>
      <c r="F1177">
        <v>8.5942847170571728</v>
      </c>
    </row>
    <row r="1178" spans="1:9">
      <c r="A1178" s="24">
        <v>5519</v>
      </c>
      <c r="B1178">
        <v>17</v>
      </c>
      <c r="C1178">
        <v>337</v>
      </c>
      <c r="D1178">
        <v>9.7039102130358934</v>
      </c>
      <c r="E1178">
        <v>12.586870635960043</v>
      </c>
      <c r="F1178">
        <v>19.469706569621721</v>
      </c>
      <c r="I1178">
        <v>1</v>
      </c>
    </row>
    <row r="1179" spans="1:9">
      <c r="A1179" s="24">
        <v>5520</v>
      </c>
      <c r="B1179">
        <v>29</v>
      </c>
      <c r="C1179">
        <v>1</v>
      </c>
      <c r="D1179">
        <v>19.287231525592155</v>
      </c>
      <c r="E1179">
        <v>25.815509521483335</v>
      </c>
      <c r="F1179">
        <v>41.728369809266511</v>
      </c>
      <c r="I1179">
        <v>1</v>
      </c>
    </row>
    <row r="1180" spans="1:9">
      <c r="A1180" s="24">
        <v>5521</v>
      </c>
      <c r="B1180">
        <v>7</v>
      </c>
      <c r="C1180">
        <v>427</v>
      </c>
      <c r="D1180">
        <v>-5.7574503729183525E-2</v>
      </c>
      <c r="E1180">
        <v>-6.8093785117726777E-2</v>
      </c>
      <c r="F1180">
        <v>-9.0508691180761533E-2</v>
      </c>
    </row>
    <row r="1181" spans="1:9">
      <c r="A1181" s="24">
        <v>5522</v>
      </c>
      <c r="B1181">
        <v>38</v>
      </c>
      <c r="C1181">
        <v>314</v>
      </c>
      <c r="D1181">
        <v>31.53364945919347</v>
      </c>
      <c r="E1181">
        <v>40.876995043538386</v>
      </c>
      <c r="F1181">
        <v>63.173205984547394</v>
      </c>
      <c r="H1181">
        <v>1</v>
      </c>
      <c r="I1181">
        <v>1</v>
      </c>
    </row>
    <row r="1182" spans="1:9">
      <c r="A1182" s="24">
        <v>5523</v>
      </c>
      <c r="B1182">
        <v>12</v>
      </c>
      <c r="C1182">
        <v>63</v>
      </c>
      <c r="D1182">
        <v>2.0690517065657033</v>
      </c>
      <c r="E1182">
        <v>2.8836767539225532</v>
      </c>
      <c r="F1182">
        <v>4.9104644025022859</v>
      </c>
    </row>
    <row r="1183" spans="1:9">
      <c r="A1183" s="24">
        <v>5525</v>
      </c>
      <c r="B1183">
        <v>28</v>
      </c>
      <c r="C1183">
        <v>93</v>
      </c>
      <c r="D1183">
        <v>27.810659967249098</v>
      </c>
      <c r="E1183">
        <v>34.603938460167221</v>
      </c>
      <c r="F1183">
        <v>50.220272511374191</v>
      </c>
      <c r="H1183">
        <v>1</v>
      </c>
      <c r="I1183">
        <v>1</v>
      </c>
    </row>
    <row r="1184" spans="1:9">
      <c r="A1184" s="24">
        <v>5529</v>
      </c>
      <c r="B1184">
        <v>6</v>
      </c>
      <c r="C1184">
        <v>63</v>
      </c>
      <c r="D1184">
        <v>3.3160376797489861</v>
      </c>
      <c r="E1184">
        <v>3.9219019284860601</v>
      </c>
      <c r="F1184">
        <v>5.2129017335852286</v>
      </c>
    </row>
    <row r="1185" spans="1:9">
      <c r="A1185" s="24">
        <v>5530</v>
      </c>
      <c r="B1185">
        <v>62</v>
      </c>
      <c r="C1185">
        <v>188</v>
      </c>
      <c r="D1185">
        <v>34.815527563955129</v>
      </c>
      <c r="E1185">
        <v>45.755708042692831</v>
      </c>
      <c r="F1185">
        <v>72.119073455587227</v>
      </c>
      <c r="I1185">
        <v>1</v>
      </c>
    </row>
    <row r="1186" spans="1:9">
      <c r="A1186" s="24">
        <v>5531</v>
      </c>
      <c r="B1186">
        <v>10</v>
      </c>
      <c r="C1186">
        <v>153</v>
      </c>
      <c r="D1186">
        <v>1.0294640859178084</v>
      </c>
      <c r="E1186">
        <v>1.3467859560268487</v>
      </c>
      <c r="F1186">
        <v>2.1090694824550349</v>
      </c>
    </row>
    <row r="1187" spans="1:9">
      <c r="A1187" s="24">
        <v>5533</v>
      </c>
      <c r="B1187">
        <v>16</v>
      </c>
      <c r="C1187">
        <v>76</v>
      </c>
      <c r="D1187">
        <v>6.0511311406995105</v>
      </c>
      <c r="E1187">
        <v>7.9257963746130287</v>
      </c>
      <c r="F1187">
        <v>12.432932531763672</v>
      </c>
    </row>
    <row r="1188" spans="1:9">
      <c r="A1188" s="24">
        <v>5534</v>
      </c>
      <c r="B1188">
        <v>89</v>
      </c>
      <c r="C1188">
        <v>769</v>
      </c>
      <c r="D1188">
        <v>80.420408596526855</v>
      </c>
      <c r="E1188">
        <v>100.77728007185442</v>
      </c>
      <c r="F1188">
        <v>147.92873042404401</v>
      </c>
      <c r="H1188">
        <v>1</v>
      </c>
      <c r="I1188">
        <v>1</v>
      </c>
    </row>
    <row r="1189" spans="1:9">
      <c r="A1189" s="24">
        <v>5536</v>
      </c>
      <c r="B1189">
        <v>166</v>
      </c>
      <c r="C1189">
        <v>110</v>
      </c>
      <c r="D1189">
        <v>248.38836146217088</v>
      </c>
      <c r="E1189">
        <v>315.54419705057262</v>
      </c>
      <c r="F1189">
        <v>473.15266110878423</v>
      </c>
      <c r="G1189">
        <v>1</v>
      </c>
      <c r="H1189">
        <v>1</v>
      </c>
      <c r="I1189">
        <v>1</v>
      </c>
    </row>
    <row r="1190" spans="1:9">
      <c r="A1190" s="24">
        <v>5538</v>
      </c>
      <c r="B1190">
        <v>34</v>
      </c>
      <c r="C1190">
        <v>1</v>
      </c>
      <c r="D1190">
        <v>23.842341035044427</v>
      </c>
      <c r="E1190">
        <v>30.538620698191004</v>
      </c>
      <c r="F1190">
        <v>46.366800949735399</v>
      </c>
      <c r="I1190">
        <v>1</v>
      </c>
    </row>
    <row r="1191" spans="1:9">
      <c r="A1191" s="24">
        <v>5543</v>
      </c>
      <c r="B1191">
        <v>20</v>
      </c>
      <c r="C1191">
        <v>15</v>
      </c>
      <c r="D1191">
        <v>9.4861380911586846</v>
      </c>
      <c r="E1191">
        <v>12.93610193136346</v>
      </c>
      <c r="F1191">
        <v>21.431505383062309</v>
      </c>
      <c r="I1191">
        <v>1</v>
      </c>
    </row>
    <row r="1192" spans="1:9">
      <c r="A1192" s="24">
        <v>5601</v>
      </c>
      <c r="B1192">
        <v>26</v>
      </c>
      <c r="C1192">
        <v>0</v>
      </c>
      <c r="D1192">
        <v>11.98690579736043</v>
      </c>
      <c r="E1192">
        <v>16.574569112834538</v>
      </c>
      <c r="F1192">
        <v>27.94791599216418</v>
      </c>
      <c r="I1192">
        <v>1</v>
      </c>
    </row>
    <row r="1193" spans="1:9">
      <c r="A1193" s="24">
        <v>5603</v>
      </c>
      <c r="B1193">
        <v>11</v>
      </c>
      <c r="C1193">
        <v>48</v>
      </c>
      <c r="D1193">
        <v>1.296701461119055</v>
      </c>
      <c r="E1193">
        <v>1.7852149382551334</v>
      </c>
      <c r="F1193">
        <v>2.9938262583371449</v>
      </c>
    </row>
    <row r="1194" spans="1:9">
      <c r="A1194" s="24">
        <v>5604</v>
      </c>
      <c r="B1194">
        <v>37</v>
      </c>
      <c r="C1194">
        <v>127</v>
      </c>
      <c r="D1194">
        <v>39.531704629960963</v>
      </c>
      <c r="E1194">
        <v>48.821698696451534</v>
      </c>
      <c r="F1194">
        <v>69.994840971375055</v>
      </c>
      <c r="G1194">
        <v>1</v>
      </c>
      <c r="H1194">
        <v>1</v>
      </c>
      <c r="I1194">
        <v>1</v>
      </c>
    </row>
    <row r="1195" spans="1:9">
      <c r="A1195" s="24">
        <v>5607</v>
      </c>
      <c r="B1195">
        <v>20</v>
      </c>
      <c r="C1195">
        <v>156</v>
      </c>
      <c r="D1195">
        <v>9.5209874507474233</v>
      </c>
      <c r="E1195">
        <v>13.370819198435449</v>
      </c>
      <c r="F1195">
        <v>22.980511083635758</v>
      </c>
      <c r="I1195">
        <v>1</v>
      </c>
    </row>
    <row r="1196" spans="1:9">
      <c r="A1196" s="24">
        <v>5608</v>
      </c>
      <c r="B1196">
        <v>9</v>
      </c>
      <c r="C1196">
        <v>236</v>
      </c>
      <c r="D1196">
        <v>-1.9081865640387057</v>
      </c>
      <c r="E1196">
        <v>-2.2568261546355783</v>
      </c>
      <c r="F1196">
        <v>-2.9997213567351206</v>
      </c>
    </row>
    <row r="1197" spans="1:9">
      <c r="A1197" s="24">
        <v>5609</v>
      </c>
      <c r="B1197">
        <v>21</v>
      </c>
      <c r="C1197">
        <v>109</v>
      </c>
      <c r="D1197">
        <v>16.606712610966319</v>
      </c>
      <c r="E1197">
        <v>21.249504889951844</v>
      </c>
      <c r="F1197">
        <v>32.214560797434117</v>
      </c>
      <c r="H1197">
        <v>1</v>
      </c>
      <c r="I1197">
        <v>1</v>
      </c>
    </row>
    <row r="1198" spans="1:9">
      <c r="A1198" s="24">
        <v>5701</v>
      </c>
      <c r="B1198">
        <v>2</v>
      </c>
      <c r="C1198">
        <v>58</v>
      </c>
      <c r="D1198">
        <v>0</v>
      </c>
      <c r="E1198">
        <v>0</v>
      </c>
      <c r="F1198">
        <v>0</v>
      </c>
    </row>
    <row r="1199" spans="1:9">
      <c r="A1199" s="24">
        <v>5703</v>
      </c>
      <c r="B1199">
        <v>25</v>
      </c>
      <c r="C1199">
        <v>2</v>
      </c>
      <c r="D1199">
        <v>7.7096010703564533E-2</v>
      </c>
      <c r="E1199">
        <v>9.1182013673553802E-2</v>
      </c>
      <c r="F1199">
        <v>0.12119703292380535</v>
      </c>
    </row>
    <row r="1200" spans="1:9">
      <c r="A1200" s="24">
        <v>5704</v>
      </c>
      <c r="B1200">
        <v>24</v>
      </c>
      <c r="C1200">
        <v>0</v>
      </c>
      <c r="D1200">
        <v>9.4365908469958981</v>
      </c>
      <c r="E1200">
        <v>12.803503023790011</v>
      </c>
      <c r="F1200">
        <v>21.072622771237025</v>
      </c>
    </row>
    <row r="1201" spans="1:9">
      <c r="A1201" s="24">
        <v>5706</v>
      </c>
      <c r="B1201">
        <v>36</v>
      </c>
      <c r="C1201">
        <v>22</v>
      </c>
      <c r="D1201">
        <v>28.043068560434399</v>
      </c>
      <c r="E1201">
        <v>36.141502179835726</v>
      </c>
      <c r="F1201">
        <v>55.380387394897276</v>
      </c>
      <c r="H1201">
        <v>1</v>
      </c>
      <c r="I1201">
        <v>1</v>
      </c>
    </row>
    <row r="1202" spans="1:9">
      <c r="A1202" s="24">
        <v>5820</v>
      </c>
      <c r="B1202">
        <v>11</v>
      </c>
      <c r="C1202">
        <v>1880</v>
      </c>
      <c r="D1202">
        <v>4.6150192256644811</v>
      </c>
      <c r="E1202">
        <v>6.0444240291894147</v>
      </c>
      <c r="F1202">
        <v>9.4809129778798535</v>
      </c>
    </row>
    <row r="1203" spans="1:9">
      <c r="A1203" s="24">
        <v>5864</v>
      </c>
      <c r="B1203">
        <v>9</v>
      </c>
      <c r="C1203">
        <v>198</v>
      </c>
      <c r="D1203">
        <v>8.8294651535584965</v>
      </c>
      <c r="E1203">
        <v>11.261286947293396</v>
      </c>
      <c r="F1203">
        <v>16.988645165779083</v>
      </c>
      <c r="H1203">
        <v>1</v>
      </c>
      <c r="I1203">
        <v>1</v>
      </c>
    </row>
    <row r="1204" spans="1:9">
      <c r="A1204" s="24">
        <v>5871</v>
      </c>
      <c r="B1204">
        <v>140</v>
      </c>
      <c r="C1204">
        <v>2277</v>
      </c>
      <c r="D1204">
        <v>82.368765132644057</v>
      </c>
      <c r="E1204">
        <v>108.23117397641023</v>
      </c>
      <c r="F1204">
        <v>170.545775431104</v>
      </c>
      <c r="I1204">
        <v>1</v>
      </c>
    </row>
    <row r="1205" spans="1:9">
      <c r="A1205" s="24">
        <v>5876</v>
      </c>
      <c r="B1205">
        <v>52</v>
      </c>
      <c r="C1205">
        <v>7376</v>
      </c>
      <c r="D1205">
        <v>76.066290762651875</v>
      </c>
      <c r="E1205">
        <v>95.345888598935346</v>
      </c>
      <c r="F1205">
        <v>140.01408294601202</v>
      </c>
      <c r="G1205">
        <v>1</v>
      </c>
      <c r="H1205">
        <v>1</v>
      </c>
      <c r="I1205">
        <v>1</v>
      </c>
    </row>
    <row r="1206" spans="1:9">
      <c r="A1206" s="24">
        <v>5878</v>
      </c>
      <c r="B1206">
        <v>45</v>
      </c>
      <c r="C1206">
        <v>2</v>
      </c>
      <c r="D1206">
        <v>37.75031695751148</v>
      </c>
      <c r="E1206">
        <v>48.998717385415581</v>
      </c>
      <c r="F1206">
        <v>75.866916451281043</v>
      </c>
      <c r="H1206">
        <v>1</v>
      </c>
      <c r="I1206">
        <v>1</v>
      </c>
    </row>
    <row r="1207" spans="1:9">
      <c r="A1207" s="24">
        <v>5880</v>
      </c>
      <c r="B1207">
        <v>21</v>
      </c>
      <c r="C1207">
        <v>7677</v>
      </c>
      <c r="D1207">
        <v>14.634399457042912</v>
      </c>
      <c r="E1207">
        <v>18.931332602577463</v>
      </c>
      <c r="F1207">
        <v>29.169078905235509</v>
      </c>
      <c r="I1207">
        <v>1</v>
      </c>
    </row>
    <row r="1208" spans="1:9">
      <c r="A1208" s="24">
        <v>5902</v>
      </c>
      <c r="B1208">
        <v>9</v>
      </c>
      <c r="C1208">
        <v>12</v>
      </c>
      <c r="D1208">
        <v>3.4368640614714643</v>
      </c>
      <c r="E1208">
        <v>4.9281260804497036</v>
      </c>
      <c r="F1208">
        <v>8.6810956737951237</v>
      </c>
    </row>
    <row r="1209" spans="1:9">
      <c r="A1209" s="24">
        <v>5903</v>
      </c>
      <c r="B1209">
        <v>224</v>
      </c>
      <c r="C1209">
        <v>41</v>
      </c>
      <c r="D1209">
        <v>124.71476609863451</v>
      </c>
      <c r="E1209">
        <v>167.95607384337569</v>
      </c>
      <c r="F1209">
        <v>273.72786513932397</v>
      </c>
      <c r="I1209">
        <v>1</v>
      </c>
    </row>
    <row r="1210" spans="1:9">
      <c r="A1210" s="24">
        <v>5904</v>
      </c>
      <c r="B1210">
        <v>432</v>
      </c>
      <c r="C1210">
        <v>58</v>
      </c>
      <c r="D1210">
        <v>216.84009140648911</v>
      </c>
      <c r="E1210">
        <v>284.86954032645542</v>
      </c>
      <c r="F1210">
        <v>448.76299092960267</v>
      </c>
      <c r="I1210">
        <v>1</v>
      </c>
    </row>
    <row r="1211" spans="1:9">
      <c r="A1211" s="24">
        <v>5905</v>
      </c>
      <c r="B1211">
        <v>10</v>
      </c>
      <c r="C1211">
        <v>3091</v>
      </c>
      <c r="D1211">
        <v>5.3665451846356422</v>
      </c>
      <c r="E1211">
        <v>7.0641026089354968</v>
      </c>
      <c r="F1211">
        <v>11.159177583719934</v>
      </c>
      <c r="I1211">
        <v>1</v>
      </c>
    </row>
    <row r="1212" spans="1:9">
      <c r="A1212" s="24">
        <v>5906</v>
      </c>
      <c r="B1212">
        <v>13</v>
      </c>
      <c r="C1212">
        <v>2</v>
      </c>
      <c r="D1212">
        <v>3.3877660034504435</v>
      </c>
      <c r="E1212">
        <v>4.8577242793004229</v>
      </c>
      <c r="F1212">
        <v>8.5570800213123377</v>
      </c>
    </row>
    <row r="1213" spans="1:9">
      <c r="A1213" s="24">
        <v>5907</v>
      </c>
      <c r="B1213">
        <v>34</v>
      </c>
      <c r="C1213">
        <v>1068</v>
      </c>
      <c r="D1213">
        <v>20.307647758570877</v>
      </c>
      <c r="E1213">
        <v>26.267573223629626</v>
      </c>
      <c r="F1213">
        <v>40.466363460648324</v>
      </c>
      <c r="I1213">
        <v>1</v>
      </c>
    </row>
    <row r="1214" spans="1:9">
      <c r="A1214" s="24">
        <v>6005</v>
      </c>
      <c r="B1214">
        <v>10</v>
      </c>
      <c r="C1214">
        <v>1489</v>
      </c>
      <c r="D1214">
        <v>5.3681414390307491</v>
      </c>
      <c r="E1214">
        <v>6.9427183486809039</v>
      </c>
      <c r="F1214">
        <v>10.693591372572126</v>
      </c>
      <c r="I1214">
        <v>1</v>
      </c>
    </row>
    <row r="1215" spans="1:9">
      <c r="A1215" s="24">
        <v>6015</v>
      </c>
      <c r="B1215">
        <v>6</v>
      </c>
      <c r="C1215">
        <v>62</v>
      </c>
      <c r="D1215">
        <v>-0.87742357006158167</v>
      </c>
      <c r="E1215">
        <v>-1.0377352502774113</v>
      </c>
      <c r="F1215">
        <v>-1.3793337987066514</v>
      </c>
    </row>
    <row r="1216" spans="1:9">
      <c r="A1216" s="24">
        <v>6016</v>
      </c>
      <c r="B1216">
        <v>7</v>
      </c>
      <c r="C1216">
        <v>43</v>
      </c>
      <c r="D1216">
        <v>-7.1812553517356115</v>
      </c>
      <c r="E1216">
        <v>-10.14421732009383</v>
      </c>
      <c r="F1216">
        <v>-17.557992406455593</v>
      </c>
    </row>
    <row r="1217" spans="1:9">
      <c r="A1217" s="24">
        <v>6020</v>
      </c>
      <c r="B1217">
        <v>13</v>
      </c>
      <c r="C1217">
        <v>4</v>
      </c>
      <c r="D1217">
        <v>0.33502392224757888</v>
      </c>
      <c r="E1217">
        <v>0.47260222373837463</v>
      </c>
      <c r="F1217">
        <v>0.81665151671630742</v>
      </c>
    </row>
    <row r="1218" spans="1:9">
      <c r="A1218" s="24">
        <v>6021</v>
      </c>
      <c r="B1218">
        <v>12</v>
      </c>
      <c r="C1218">
        <v>52</v>
      </c>
      <c r="D1218">
        <v>4.3272175062758986</v>
      </c>
      <c r="E1218">
        <v>5.9198855813052207</v>
      </c>
      <c r="F1218">
        <v>9.8481054770195779</v>
      </c>
    </row>
    <row r="1219" spans="1:9">
      <c r="A1219" s="24">
        <v>6023</v>
      </c>
      <c r="B1219">
        <v>50</v>
      </c>
      <c r="C1219">
        <v>33</v>
      </c>
      <c r="D1219">
        <v>112.937965661319</v>
      </c>
      <c r="E1219">
        <v>137.58137151012252</v>
      </c>
      <c r="F1219">
        <v>192.76405421454905</v>
      </c>
      <c r="G1219">
        <v>1</v>
      </c>
      <c r="H1219">
        <v>1</v>
      </c>
      <c r="I1219">
        <v>1</v>
      </c>
    </row>
    <row r="1220" spans="1:9">
      <c r="A1220" s="24">
        <v>6024</v>
      </c>
      <c r="B1220">
        <v>44</v>
      </c>
      <c r="C1220">
        <v>92</v>
      </c>
      <c r="D1220">
        <v>92.661208502636768</v>
      </c>
      <c r="E1220">
        <v>113.12453978247308</v>
      </c>
      <c r="F1220">
        <v>159.08336402465252</v>
      </c>
      <c r="G1220">
        <v>1</v>
      </c>
      <c r="H1220">
        <v>1</v>
      </c>
      <c r="I1220">
        <v>1</v>
      </c>
    </row>
    <row r="1221" spans="1:9">
      <c r="A1221" s="24">
        <v>6026</v>
      </c>
      <c r="B1221">
        <v>8</v>
      </c>
      <c r="C1221">
        <v>49</v>
      </c>
      <c r="D1221">
        <v>1.7777742891517114</v>
      </c>
      <c r="E1221">
        <v>2.3134838161831057</v>
      </c>
      <c r="F1221">
        <v>3.5955397279342063</v>
      </c>
    </row>
    <row r="1222" spans="1:9">
      <c r="A1222" s="24">
        <v>6101</v>
      </c>
      <c r="B1222">
        <v>55</v>
      </c>
      <c r="C1222">
        <v>13</v>
      </c>
      <c r="D1222">
        <v>22.337175041364077</v>
      </c>
      <c r="E1222">
        <v>32.004340782747832</v>
      </c>
      <c r="F1222">
        <v>56.32610725496346</v>
      </c>
      <c r="I1222">
        <v>1</v>
      </c>
    </row>
    <row r="1223" spans="1:9">
      <c r="A1223" s="24">
        <v>6103</v>
      </c>
      <c r="B1223">
        <v>12</v>
      </c>
      <c r="C1223">
        <v>0</v>
      </c>
      <c r="D1223">
        <v>1.9933811556534493</v>
      </c>
      <c r="E1223">
        <v>2.8583131266608284</v>
      </c>
      <c r="F1223">
        <v>5.0350354908011719</v>
      </c>
    </row>
    <row r="1224" spans="1:9">
      <c r="A1224" s="24">
        <v>6104</v>
      </c>
      <c r="B1224">
        <v>33</v>
      </c>
      <c r="C1224">
        <v>167</v>
      </c>
      <c r="D1224">
        <v>26.296657713019751</v>
      </c>
      <c r="E1224">
        <v>33.78494652883559</v>
      </c>
      <c r="F1224">
        <v>51.529742778933091</v>
      </c>
      <c r="H1224">
        <v>1</v>
      </c>
      <c r="I1224">
        <v>1</v>
      </c>
    </row>
    <row r="1225" spans="1:9">
      <c r="A1225" s="24">
        <v>6108</v>
      </c>
      <c r="B1225">
        <v>27</v>
      </c>
      <c r="C1225">
        <v>1443</v>
      </c>
      <c r="D1225">
        <v>25.690468058963653</v>
      </c>
      <c r="E1225">
        <v>33.064918315020016</v>
      </c>
      <c r="F1225">
        <v>50.565088057356732</v>
      </c>
      <c r="H1225">
        <v>1</v>
      </c>
      <c r="I1225">
        <v>1</v>
      </c>
    </row>
    <row r="1226" spans="1:9">
      <c r="A1226" s="24">
        <v>6109</v>
      </c>
      <c r="B1226">
        <v>10</v>
      </c>
      <c r="C1226">
        <v>11</v>
      </c>
      <c r="D1226">
        <v>2.4578090622162527</v>
      </c>
      <c r="E1226">
        <v>3.2324643801432926</v>
      </c>
      <c r="F1226">
        <v>5.1001120878745416</v>
      </c>
    </row>
    <row r="1227" spans="1:9">
      <c r="A1227" s="24">
        <v>6111</v>
      </c>
      <c r="B1227">
        <v>96</v>
      </c>
      <c r="C1227">
        <v>405</v>
      </c>
      <c r="D1227">
        <v>42.585691605112707</v>
      </c>
      <c r="E1227">
        <v>61.063706244840795</v>
      </c>
      <c r="F1227">
        <v>107.56621633747056</v>
      </c>
      <c r="I1227">
        <v>1</v>
      </c>
    </row>
    <row r="1228" spans="1:9">
      <c r="A1228" s="24">
        <v>6112</v>
      </c>
      <c r="B1228">
        <v>33</v>
      </c>
      <c r="C1228">
        <v>94</v>
      </c>
      <c r="D1228">
        <v>27.785860497202641</v>
      </c>
      <c r="E1228">
        <v>35.606670047501893</v>
      </c>
      <c r="F1228">
        <v>54.100287808804119</v>
      </c>
      <c r="H1228">
        <v>1</v>
      </c>
      <c r="I1228">
        <v>1</v>
      </c>
    </row>
    <row r="1229" spans="1:9">
      <c r="A1229" s="24">
        <v>6113</v>
      </c>
      <c r="B1229">
        <v>7</v>
      </c>
      <c r="C1229">
        <v>155</v>
      </c>
      <c r="D1229">
        <v>0</v>
      </c>
      <c r="E1229">
        <v>0</v>
      </c>
      <c r="F1229">
        <v>0</v>
      </c>
    </row>
    <row r="1230" spans="1:9">
      <c r="A1230" s="24">
        <v>6114</v>
      </c>
      <c r="B1230">
        <v>41</v>
      </c>
      <c r="C1230">
        <v>89</v>
      </c>
      <c r="D1230">
        <v>31.897993893979113</v>
      </c>
      <c r="E1230">
        <v>41.250193193196687</v>
      </c>
      <c r="F1230">
        <v>63.526808191359834</v>
      </c>
      <c r="H1230">
        <v>1</v>
      </c>
      <c r="I1230">
        <v>1</v>
      </c>
    </row>
    <row r="1231" spans="1:9">
      <c r="A1231" s="24">
        <v>6115</v>
      </c>
      <c r="B1231">
        <v>41</v>
      </c>
      <c r="C1231">
        <v>97</v>
      </c>
      <c r="D1231">
        <v>41.876078389275889</v>
      </c>
      <c r="E1231">
        <v>53.729508517289524</v>
      </c>
      <c r="F1231">
        <v>81.787782217456339</v>
      </c>
      <c r="G1231">
        <v>1</v>
      </c>
      <c r="H1231">
        <v>1</v>
      </c>
      <c r="I1231">
        <v>1</v>
      </c>
    </row>
    <row r="1232" spans="1:9">
      <c r="A1232" s="24">
        <v>6116</v>
      </c>
      <c r="B1232">
        <v>7</v>
      </c>
      <c r="C1232">
        <v>20815</v>
      </c>
      <c r="D1232">
        <v>1.6182517365936162</v>
      </c>
      <c r="E1232">
        <v>2.1203115565274318</v>
      </c>
      <c r="F1232">
        <v>3.3276639520104512</v>
      </c>
    </row>
    <row r="1233" spans="1:9">
      <c r="A1233" s="24">
        <v>6117</v>
      </c>
      <c r="B1233">
        <v>15</v>
      </c>
      <c r="C1233">
        <v>6</v>
      </c>
      <c r="D1233">
        <v>-4.5963608735749313</v>
      </c>
      <c r="E1233">
        <v>-5.9344095734657909</v>
      </c>
      <c r="F1233">
        <v>-9.1176242146172548</v>
      </c>
    </row>
    <row r="1234" spans="1:9">
      <c r="A1234" s="24">
        <v>6118</v>
      </c>
      <c r="B1234">
        <v>10</v>
      </c>
      <c r="C1234">
        <v>198</v>
      </c>
      <c r="D1234">
        <v>-3.5612458084580507</v>
      </c>
      <c r="E1234">
        <v>-5.1064773100278833</v>
      </c>
      <c r="F1234">
        <v>-8.9952686600848519</v>
      </c>
    </row>
    <row r="1235" spans="1:9">
      <c r="A1235" s="24">
        <v>6120</v>
      </c>
      <c r="B1235">
        <v>19</v>
      </c>
      <c r="C1235">
        <v>1285</v>
      </c>
      <c r="D1235">
        <v>8.7474246388632722</v>
      </c>
      <c r="E1235">
        <v>11.976492926961598</v>
      </c>
      <c r="F1235">
        <v>19.943940290684726</v>
      </c>
      <c r="I1235">
        <v>1</v>
      </c>
    </row>
    <row r="1236" spans="1:9">
      <c r="A1236" s="24">
        <v>6121</v>
      </c>
      <c r="B1236">
        <v>248</v>
      </c>
      <c r="C1236">
        <v>843</v>
      </c>
      <c r="D1236">
        <v>198.92055637105099</v>
      </c>
      <c r="E1236">
        <v>259.87563260971382</v>
      </c>
      <c r="F1236">
        <v>406.16212938186004</v>
      </c>
      <c r="H1236">
        <v>1</v>
      </c>
      <c r="I1236">
        <v>1</v>
      </c>
    </row>
    <row r="1237" spans="1:9">
      <c r="A1237" s="24">
        <v>6122</v>
      </c>
      <c r="B1237">
        <v>10</v>
      </c>
      <c r="C1237">
        <v>68</v>
      </c>
      <c r="D1237">
        <v>0.42084049732303647</v>
      </c>
      <c r="E1237">
        <v>0.60344400985098423</v>
      </c>
      <c r="F1237">
        <v>1.0629913069953214</v>
      </c>
    </row>
    <row r="1238" spans="1:9">
      <c r="A1238" s="24">
        <v>6123</v>
      </c>
      <c r="B1238">
        <v>44</v>
      </c>
      <c r="C1238">
        <v>343</v>
      </c>
      <c r="D1238">
        <v>39.23302893225889</v>
      </c>
      <c r="E1238">
        <v>50.213372107649072</v>
      </c>
      <c r="F1238">
        <v>76.151214518299184</v>
      </c>
      <c r="H1238">
        <v>1</v>
      </c>
      <c r="I1238">
        <v>1</v>
      </c>
    </row>
    <row r="1239" spans="1:9">
      <c r="A1239" s="24">
        <v>6124</v>
      </c>
      <c r="B1239">
        <v>32</v>
      </c>
      <c r="C1239">
        <v>112</v>
      </c>
      <c r="D1239">
        <v>4.8312489092684583</v>
      </c>
      <c r="E1239">
        <v>6.9275372330892973</v>
      </c>
      <c r="F1239">
        <v>12.203140204306289</v>
      </c>
    </row>
    <row r="1240" spans="1:9">
      <c r="A1240" s="24">
        <v>6125</v>
      </c>
      <c r="B1240">
        <v>14</v>
      </c>
      <c r="C1240">
        <v>4508</v>
      </c>
      <c r="D1240">
        <v>-5.9300122966999727</v>
      </c>
      <c r="E1240">
        <v>-7.0134687565233431</v>
      </c>
      <c r="F1240">
        <v>-9.322141171806285</v>
      </c>
    </row>
    <row r="1241" spans="1:9">
      <c r="A1241" s="24">
        <v>6126</v>
      </c>
      <c r="B1241">
        <v>12</v>
      </c>
      <c r="C1241">
        <v>90</v>
      </c>
      <c r="D1241">
        <v>5.0353544166170421</v>
      </c>
      <c r="E1241">
        <v>6.8332958880309409</v>
      </c>
      <c r="F1241">
        <v>11.249495705367185</v>
      </c>
    </row>
    <row r="1242" spans="1:9">
      <c r="A1242" s="24">
        <v>6127</v>
      </c>
      <c r="B1242">
        <v>15</v>
      </c>
      <c r="C1242">
        <v>3095</v>
      </c>
      <c r="D1242">
        <v>0.23393372315228841</v>
      </c>
      <c r="E1242">
        <v>0.27667511909524906</v>
      </c>
      <c r="F1242">
        <v>0.36775019729477909</v>
      </c>
    </row>
    <row r="1243" spans="1:9">
      <c r="A1243" s="24">
        <v>6128</v>
      </c>
      <c r="B1243">
        <v>33</v>
      </c>
      <c r="C1243">
        <v>60</v>
      </c>
      <c r="D1243">
        <v>11.463804884916719</v>
      </c>
      <c r="E1243">
        <v>14.482744113766849</v>
      </c>
      <c r="F1243">
        <v>21.531665060757419</v>
      </c>
    </row>
    <row r="1244" spans="1:9">
      <c r="A1244" s="24">
        <v>6129</v>
      </c>
      <c r="B1244">
        <v>9</v>
      </c>
      <c r="C1244">
        <v>421</v>
      </c>
      <c r="D1244">
        <v>0</v>
      </c>
      <c r="E1244">
        <v>0</v>
      </c>
      <c r="F1244">
        <v>0</v>
      </c>
    </row>
    <row r="1245" spans="1:9">
      <c r="A1245" s="24">
        <v>6130</v>
      </c>
      <c r="B1245">
        <v>25</v>
      </c>
      <c r="C1245">
        <v>12</v>
      </c>
      <c r="D1245">
        <v>-2.9193824548986296</v>
      </c>
      <c r="E1245">
        <v>-3.4527749035475361</v>
      </c>
      <c r="F1245">
        <v>-4.5893488946396284</v>
      </c>
    </row>
    <row r="1246" spans="1:9">
      <c r="A1246" s="24">
        <v>6131</v>
      </c>
      <c r="B1246">
        <v>2</v>
      </c>
      <c r="C1246">
        <v>20</v>
      </c>
      <c r="D1246">
        <v>-0.10418387473829541</v>
      </c>
      <c r="E1246">
        <v>-0.12321902786225293</v>
      </c>
      <c r="F1246">
        <v>-0.16377989446609587</v>
      </c>
    </row>
    <row r="1247" spans="1:9">
      <c r="A1247" s="24">
        <v>6133</v>
      </c>
      <c r="B1247">
        <v>9</v>
      </c>
      <c r="C1247">
        <v>62</v>
      </c>
      <c r="D1247">
        <v>1.7759411609983893</v>
      </c>
      <c r="E1247">
        <v>2.3328988099031363</v>
      </c>
      <c r="F1247">
        <v>3.6746142897115748</v>
      </c>
    </row>
    <row r="1248" spans="1:9">
      <c r="A1248" s="24">
        <v>6134</v>
      </c>
      <c r="B1248">
        <v>7</v>
      </c>
      <c r="C1248">
        <v>27</v>
      </c>
      <c r="D1248">
        <v>-40.384789324223739</v>
      </c>
      <c r="E1248">
        <v>-57.907828171988996</v>
      </c>
      <c r="F1248">
        <v>-102.00700802217546</v>
      </c>
    </row>
    <row r="1249" spans="1:9">
      <c r="A1249" s="24">
        <v>6136</v>
      </c>
      <c r="B1249">
        <v>20</v>
      </c>
      <c r="C1249">
        <v>58</v>
      </c>
      <c r="D1249">
        <v>9.3313558429212833</v>
      </c>
      <c r="E1249">
        <v>12.032166043748532</v>
      </c>
      <c r="F1249">
        <v>18.450843403112511</v>
      </c>
    </row>
    <row r="1250" spans="1:9">
      <c r="A1250" s="24">
        <v>6138</v>
      </c>
      <c r="B1250">
        <v>63</v>
      </c>
      <c r="C1250">
        <v>405</v>
      </c>
      <c r="D1250">
        <v>79.770895227967415</v>
      </c>
      <c r="E1250">
        <v>101.57638055805046</v>
      </c>
      <c r="F1250">
        <v>152.85905387965045</v>
      </c>
      <c r="G1250">
        <v>1</v>
      </c>
      <c r="H1250">
        <v>1</v>
      </c>
      <c r="I1250">
        <v>1</v>
      </c>
    </row>
    <row r="1251" spans="1:9">
      <c r="A1251" s="24">
        <v>6139</v>
      </c>
      <c r="B1251">
        <v>29</v>
      </c>
      <c r="C1251">
        <v>201</v>
      </c>
      <c r="D1251">
        <v>31.773389039978827</v>
      </c>
      <c r="E1251">
        <v>41.291439193776128</v>
      </c>
      <c r="F1251">
        <v>64.047152661994843</v>
      </c>
      <c r="G1251">
        <v>1</v>
      </c>
      <c r="H1251">
        <v>1</v>
      </c>
      <c r="I1251">
        <v>1</v>
      </c>
    </row>
    <row r="1252" spans="1:9">
      <c r="A1252" s="24">
        <v>6140</v>
      </c>
      <c r="B1252">
        <v>13</v>
      </c>
      <c r="C1252">
        <v>32</v>
      </c>
      <c r="D1252">
        <v>0.54498844403333224</v>
      </c>
      <c r="E1252">
        <v>0.78145999275702449</v>
      </c>
      <c r="F1252">
        <v>1.3765737425589413</v>
      </c>
    </row>
    <row r="1253" spans="1:9">
      <c r="A1253" s="24">
        <v>6141</v>
      </c>
      <c r="B1253">
        <v>19</v>
      </c>
      <c r="C1253">
        <v>314</v>
      </c>
      <c r="D1253">
        <v>-5.0331429222470732</v>
      </c>
      <c r="E1253">
        <v>-6.8771533489643364</v>
      </c>
      <c r="F1253">
        <v>-11.422488950358474</v>
      </c>
    </row>
    <row r="1254" spans="1:9">
      <c r="A1254" s="24">
        <v>6142</v>
      </c>
      <c r="B1254">
        <v>9</v>
      </c>
      <c r="C1254">
        <v>334</v>
      </c>
      <c r="D1254">
        <v>-0.82532493362641446</v>
      </c>
      <c r="E1254">
        <v>-0.97611781331208625</v>
      </c>
      <c r="F1254">
        <v>-1.2974333203589903</v>
      </c>
    </row>
    <row r="1255" spans="1:9">
      <c r="A1255" s="24">
        <v>6143</v>
      </c>
      <c r="B1255">
        <v>50</v>
      </c>
      <c r="C1255">
        <v>759</v>
      </c>
      <c r="D1255">
        <v>19.507672279376518</v>
      </c>
      <c r="E1255">
        <v>26.147450464940743</v>
      </c>
      <c r="F1255">
        <v>42.345364445037035</v>
      </c>
    </row>
    <row r="1256" spans="1:9">
      <c r="A1256" s="24">
        <v>6144</v>
      </c>
      <c r="B1256">
        <v>8</v>
      </c>
      <c r="C1256">
        <v>25</v>
      </c>
      <c r="D1256">
        <v>0</v>
      </c>
      <c r="E1256">
        <v>0</v>
      </c>
      <c r="F1256">
        <v>0</v>
      </c>
    </row>
    <row r="1257" spans="1:9">
      <c r="A1257" s="24">
        <v>6146</v>
      </c>
      <c r="B1257">
        <v>203</v>
      </c>
      <c r="C1257">
        <v>180</v>
      </c>
      <c r="D1257">
        <v>93.028538946394136</v>
      </c>
      <c r="E1257">
        <v>122.99015938132639</v>
      </c>
      <c r="F1257">
        <v>195.47337430748041</v>
      </c>
    </row>
    <row r="1258" spans="1:9">
      <c r="A1258" s="24">
        <v>6147</v>
      </c>
      <c r="B1258">
        <v>65</v>
      </c>
      <c r="C1258">
        <v>7308</v>
      </c>
      <c r="D1258">
        <v>30.25467768540296</v>
      </c>
      <c r="E1258">
        <v>38.624217860166254</v>
      </c>
      <c r="F1258">
        <v>58.352174507045873</v>
      </c>
    </row>
    <row r="1259" spans="1:9">
      <c r="A1259" s="24">
        <v>6148</v>
      </c>
      <c r="B1259">
        <v>12</v>
      </c>
      <c r="C1259">
        <v>240</v>
      </c>
      <c r="D1259">
        <v>6.3653572036993982</v>
      </c>
      <c r="E1259">
        <v>8.4163426005734507</v>
      </c>
      <c r="F1259">
        <v>13.378431148151922</v>
      </c>
      <c r="I1259">
        <v>1</v>
      </c>
    </row>
    <row r="1260" spans="1:9">
      <c r="A1260" s="24">
        <v>6150</v>
      </c>
      <c r="B1260">
        <v>81</v>
      </c>
      <c r="C1260">
        <v>427</v>
      </c>
      <c r="D1260">
        <v>14.968063703911383</v>
      </c>
      <c r="E1260">
        <v>19.688478410539069</v>
      </c>
      <c r="F1260">
        <v>31.070183261962192</v>
      </c>
    </row>
    <row r="1261" spans="1:9">
      <c r="A1261" s="24">
        <v>6151</v>
      </c>
      <c r="B1261">
        <v>18</v>
      </c>
      <c r="C1261">
        <v>42</v>
      </c>
      <c r="D1261">
        <v>15.442803588819302</v>
      </c>
      <c r="E1261">
        <v>19.979860305876279</v>
      </c>
      <c r="F1261">
        <v>30.790862897666258</v>
      </c>
      <c r="H1261">
        <v>1</v>
      </c>
      <c r="I1261">
        <v>1</v>
      </c>
    </row>
    <row r="1262" spans="1:9">
      <c r="A1262" s="24">
        <v>6152</v>
      </c>
      <c r="B1262">
        <v>6</v>
      </c>
      <c r="C1262">
        <v>496</v>
      </c>
      <c r="D1262">
        <v>0</v>
      </c>
      <c r="E1262">
        <v>0</v>
      </c>
      <c r="F1262">
        <v>0</v>
      </c>
    </row>
    <row r="1263" spans="1:9">
      <c r="A1263" s="24">
        <v>6153</v>
      </c>
      <c r="B1263">
        <v>35</v>
      </c>
      <c r="C1263">
        <v>16182</v>
      </c>
      <c r="D1263">
        <v>28.384710482165524</v>
      </c>
      <c r="E1263">
        <v>36.356596339011851</v>
      </c>
      <c r="F1263">
        <v>55.199897667786864</v>
      </c>
      <c r="G1263">
        <v>1</v>
      </c>
      <c r="H1263">
        <v>1</v>
      </c>
      <c r="I1263">
        <v>1</v>
      </c>
    </row>
    <row r="1264" spans="1:9">
      <c r="A1264" s="24">
        <v>6154</v>
      </c>
      <c r="B1264">
        <v>16</v>
      </c>
      <c r="C1264">
        <v>29</v>
      </c>
      <c r="D1264">
        <v>9.0591859017098635</v>
      </c>
      <c r="E1264">
        <v>11.815100617111263</v>
      </c>
      <c r="F1264">
        <v>18.421058232485574</v>
      </c>
      <c r="I1264">
        <v>1</v>
      </c>
    </row>
    <row r="1265" spans="1:9">
      <c r="A1265" s="24">
        <v>6155</v>
      </c>
      <c r="B1265">
        <v>22</v>
      </c>
      <c r="C1265">
        <v>943</v>
      </c>
      <c r="D1265">
        <v>13.969618098027025</v>
      </c>
      <c r="E1265">
        <v>17.960016762356879</v>
      </c>
      <c r="F1265">
        <v>27.421251380978841</v>
      </c>
      <c r="I1265">
        <v>1</v>
      </c>
    </row>
    <row r="1266" spans="1:9">
      <c r="A1266" s="24">
        <v>6156</v>
      </c>
      <c r="B1266">
        <v>16</v>
      </c>
      <c r="C1266">
        <v>54</v>
      </c>
      <c r="D1266">
        <v>9.3761647588070289</v>
      </c>
      <c r="E1266">
        <v>12.474890051528613</v>
      </c>
      <c r="F1266">
        <v>20.001180665086864</v>
      </c>
      <c r="I1266">
        <v>1</v>
      </c>
    </row>
    <row r="1267" spans="1:9">
      <c r="A1267" s="24">
        <v>6158</v>
      </c>
      <c r="B1267">
        <v>30</v>
      </c>
      <c r="C1267">
        <v>1737</v>
      </c>
      <c r="D1267">
        <v>50.86362991834546</v>
      </c>
      <c r="E1267">
        <v>62.219340284489483</v>
      </c>
      <c r="F1267">
        <v>87.79105542245874</v>
      </c>
      <c r="G1267">
        <v>1</v>
      </c>
      <c r="H1267">
        <v>1</v>
      </c>
      <c r="I1267">
        <v>1</v>
      </c>
    </row>
    <row r="1268" spans="1:9">
      <c r="A1268" s="24">
        <v>6160</v>
      </c>
      <c r="B1268">
        <v>20</v>
      </c>
      <c r="C1268">
        <v>19</v>
      </c>
      <c r="D1268">
        <v>9.7107779435905481</v>
      </c>
      <c r="E1268">
        <v>12.63516404796167</v>
      </c>
      <c r="F1268">
        <v>19.633041882158061</v>
      </c>
    </row>
    <row r="1269" spans="1:9">
      <c r="A1269" s="24">
        <v>6161</v>
      </c>
      <c r="B1269">
        <v>20</v>
      </c>
      <c r="C1269">
        <v>52</v>
      </c>
      <c r="D1269">
        <v>15.734949073155402</v>
      </c>
      <c r="E1269">
        <v>19.841922629628922</v>
      </c>
      <c r="F1269">
        <v>29.414302692739533</v>
      </c>
      <c r="I1269">
        <v>1</v>
      </c>
    </row>
    <row r="1270" spans="1:9">
      <c r="A1270" s="24">
        <v>6163</v>
      </c>
      <c r="B1270">
        <v>19</v>
      </c>
      <c r="C1270">
        <v>525</v>
      </c>
      <c r="D1270">
        <v>6.5403961527840959</v>
      </c>
      <c r="E1270">
        <v>9.1132359591693088</v>
      </c>
      <c r="F1270">
        <v>15.51377075872689</v>
      </c>
    </row>
    <row r="1271" spans="1:9">
      <c r="A1271" s="24">
        <v>6164</v>
      </c>
      <c r="B1271">
        <v>7</v>
      </c>
      <c r="C1271">
        <v>38</v>
      </c>
      <c r="D1271">
        <v>2.3995010203222895</v>
      </c>
      <c r="E1271">
        <v>3.2486019080600022</v>
      </c>
      <c r="F1271">
        <v>5.3315921952055918</v>
      </c>
    </row>
    <row r="1272" spans="1:9">
      <c r="A1272" s="24">
        <v>6165</v>
      </c>
      <c r="B1272">
        <v>8</v>
      </c>
      <c r="C1272">
        <v>146</v>
      </c>
      <c r="D1272">
        <v>0</v>
      </c>
      <c r="E1272">
        <v>0</v>
      </c>
      <c r="F1272">
        <v>0</v>
      </c>
    </row>
    <row r="1273" spans="1:9">
      <c r="A1273" s="24">
        <v>6166</v>
      </c>
      <c r="B1273">
        <v>46</v>
      </c>
      <c r="C1273">
        <v>2605</v>
      </c>
      <c r="D1273">
        <v>16.507825790516367</v>
      </c>
      <c r="E1273">
        <v>21.961857235888637</v>
      </c>
      <c r="F1273">
        <v>35.208194510568859</v>
      </c>
    </row>
    <row r="1274" spans="1:9">
      <c r="A1274" s="24">
        <v>6167</v>
      </c>
      <c r="B1274">
        <v>9</v>
      </c>
      <c r="C1274">
        <v>1348</v>
      </c>
      <c r="D1274">
        <v>2.0216125390155364</v>
      </c>
      <c r="E1274">
        <v>2.8987941623216655</v>
      </c>
      <c r="F1274">
        <v>5.1063444909787759</v>
      </c>
    </row>
    <row r="1275" spans="1:9">
      <c r="A1275" s="24">
        <v>6168</v>
      </c>
      <c r="B1275">
        <v>15</v>
      </c>
      <c r="C1275">
        <v>275</v>
      </c>
      <c r="D1275">
        <v>7.7011972997441749</v>
      </c>
      <c r="E1275">
        <v>10.186533613155232</v>
      </c>
      <c r="F1275">
        <v>16.200961644157665</v>
      </c>
      <c r="I1275">
        <v>1</v>
      </c>
    </row>
    <row r="1276" spans="1:9">
      <c r="A1276" s="24">
        <v>6169</v>
      </c>
      <c r="B1276">
        <v>12</v>
      </c>
      <c r="C1276">
        <v>46</v>
      </c>
      <c r="D1276">
        <v>0</v>
      </c>
      <c r="E1276">
        <v>0</v>
      </c>
      <c r="F1276">
        <v>0</v>
      </c>
    </row>
    <row r="1277" spans="1:9">
      <c r="A1277" s="24">
        <v>6170</v>
      </c>
      <c r="B1277">
        <v>16</v>
      </c>
      <c r="C1277">
        <v>1084</v>
      </c>
      <c r="D1277">
        <v>-9.3659900371766405</v>
      </c>
      <c r="E1277">
        <v>-13.280751067241843</v>
      </c>
      <c r="F1277">
        <v>-23.090938820056572</v>
      </c>
    </row>
    <row r="1278" spans="1:9">
      <c r="A1278" s="24">
        <v>6171</v>
      </c>
      <c r="B1278">
        <v>16</v>
      </c>
      <c r="C1278">
        <v>97</v>
      </c>
      <c r="D1278">
        <v>3.2282188319264793</v>
      </c>
      <c r="E1278">
        <v>4.3980052630552127</v>
      </c>
      <c r="F1278">
        <v>7.2771306809997718</v>
      </c>
    </row>
    <row r="1279" spans="1:9">
      <c r="A1279" s="24">
        <v>6172</v>
      </c>
      <c r="B1279">
        <v>16</v>
      </c>
      <c r="C1279">
        <v>629</v>
      </c>
      <c r="D1279">
        <v>3.0244403740948882</v>
      </c>
      <c r="E1279">
        <v>4.3367509507957394</v>
      </c>
      <c r="F1279">
        <v>7.6393641929397091</v>
      </c>
    </row>
    <row r="1280" spans="1:9">
      <c r="A1280" s="24">
        <v>6173</v>
      </c>
      <c r="B1280">
        <v>62</v>
      </c>
      <c r="C1280">
        <v>1175</v>
      </c>
      <c r="D1280">
        <v>49.196495765631283</v>
      </c>
      <c r="E1280">
        <v>63.08988326366751</v>
      </c>
      <c r="F1280">
        <v>95.963110664150776</v>
      </c>
      <c r="H1280">
        <v>1</v>
      </c>
      <c r="I1280">
        <v>1</v>
      </c>
    </row>
    <row r="1281" spans="1:9">
      <c r="A1281" s="24">
        <v>6174</v>
      </c>
      <c r="B1281">
        <v>16</v>
      </c>
      <c r="C1281">
        <v>69</v>
      </c>
      <c r="D1281">
        <v>12.22529031149636</v>
      </c>
      <c r="E1281">
        <v>15.728763137240295</v>
      </c>
      <c r="F1281">
        <v>24.040329759900231</v>
      </c>
      <c r="I1281">
        <v>1</v>
      </c>
    </row>
    <row r="1282" spans="1:9">
      <c r="A1282" s="24">
        <v>6175</v>
      </c>
      <c r="B1282">
        <v>24</v>
      </c>
      <c r="C1282">
        <v>218</v>
      </c>
      <c r="D1282">
        <v>23.954074246195194</v>
      </c>
      <c r="E1282">
        <v>30.964494746740463</v>
      </c>
      <c r="F1282">
        <v>47.657801881522012</v>
      </c>
      <c r="H1282">
        <v>1</v>
      </c>
      <c r="I1282">
        <v>1</v>
      </c>
    </row>
    <row r="1283" spans="1:9">
      <c r="A1283" s="24">
        <v>6176</v>
      </c>
      <c r="B1283">
        <v>122</v>
      </c>
      <c r="C1283">
        <v>8506</v>
      </c>
      <c r="D1283">
        <v>82.858973905576107</v>
      </c>
      <c r="E1283">
        <v>105.45250926103458</v>
      </c>
      <c r="F1283">
        <v>158.56355800806179</v>
      </c>
      <c r="I1283">
        <v>1</v>
      </c>
    </row>
    <row r="1284" spans="1:9">
      <c r="A1284" s="24">
        <v>6177</v>
      </c>
      <c r="B1284">
        <v>29</v>
      </c>
      <c r="C1284">
        <v>705</v>
      </c>
      <c r="D1284">
        <v>2.6918311864949533</v>
      </c>
      <c r="E1284">
        <v>3.3600126931985548</v>
      </c>
      <c r="F1284">
        <v>4.9013320540989458</v>
      </c>
    </row>
    <row r="1285" spans="1:9">
      <c r="A1285" s="24">
        <v>6179</v>
      </c>
      <c r="B1285">
        <v>32</v>
      </c>
      <c r="C1285">
        <v>13</v>
      </c>
      <c r="D1285">
        <v>18.342441404921878</v>
      </c>
      <c r="E1285">
        <v>24.738270257915222</v>
      </c>
      <c r="F1285">
        <v>40.395673007111697</v>
      </c>
      <c r="I1285">
        <v>1</v>
      </c>
    </row>
    <row r="1286" spans="1:9">
      <c r="A1286" s="24">
        <v>6180</v>
      </c>
      <c r="B1286">
        <v>68</v>
      </c>
      <c r="C1286">
        <v>1130</v>
      </c>
      <c r="D1286">
        <v>88.96050325574376</v>
      </c>
      <c r="E1286">
        <v>110.53723170651698</v>
      </c>
      <c r="F1286">
        <v>160.0611015613176</v>
      </c>
      <c r="G1286">
        <v>1</v>
      </c>
      <c r="H1286">
        <v>1</v>
      </c>
      <c r="I1286">
        <v>1</v>
      </c>
    </row>
    <row r="1287" spans="1:9">
      <c r="A1287" s="24">
        <v>6182</v>
      </c>
      <c r="B1287">
        <v>37</v>
      </c>
      <c r="C1287">
        <v>10263</v>
      </c>
      <c r="D1287">
        <v>17.146945194424354</v>
      </c>
      <c r="E1287">
        <v>23.037804070340197</v>
      </c>
      <c r="F1287">
        <v>37.428239911584342</v>
      </c>
      <c r="I1287">
        <v>1</v>
      </c>
    </row>
    <row r="1288" spans="1:9">
      <c r="A1288" s="24">
        <v>6183</v>
      </c>
      <c r="B1288">
        <v>35</v>
      </c>
      <c r="C1288">
        <v>120</v>
      </c>
      <c r="D1288">
        <v>23.638982383962091</v>
      </c>
      <c r="E1288">
        <v>31.057075720455543</v>
      </c>
      <c r="F1288">
        <v>48.929111955695916</v>
      </c>
      <c r="I1288">
        <v>1</v>
      </c>
    </row>
    <row r="1289" spans="1:9">
      <c r="A1289" s="24">
        <v>6184</v>
      </c>
      <c r="B1289">
        <v>36</v>
      </c>
      <c r="C1289">
        <v>83</v>
      </c>
      <c r="D1289">
        <v>20.970090581466806</v>
      </c>
      <c r="E1289">
        <v>27.63934139331284</v>
      </c>
      <c r="F1289">
        <v>43.741635942083548</v>
      </c>
      <c r="I1289">
        <v>1</v>
      </c>
    </row>
    <row r="1290" spans="1:9">
      <c r="A1290" s="24">
        <v>6185</v>
      </c>
      <c r="B1290">
        <v>13</v>
      </c>
      <c r="C1290">
        <v>202</v>
      </c>
      <c r="D1290">
        <v>11.82876012247881</v>
      </c>
      <c r="E1290">
        <v>15.481781055615954</v>
      </c>
      <c r="F1290">
        <v>24.259952455982809</v>
      </c>
      <c r="H1290">
        <v>1</v>
      </c>
      <c r="I1290">
        <v>1</v>
      </c>
    </row>
    <row r="1291" spans="1:9">
      <c r="A1291" s="24">
        <v>6186</v>
      </c>
      <c r="B1291">
        <v>23</v>
      </c>
      <c r="C1291">
        <v>377</v>
      </c>
      <c r="D1291">
        <v>-98.986687453058593</v>
      </c>
      <c r="E1291">
        <v>-140.31980897450023</v>
      </c>
      <c r="F1291">
        <v>-243.88653250451452</v>
      </c>
    </row>
    <row r="1292" spans="1:9">
      <c r="A1292" s="24">
        <v>6187</v>
      </c>
      <c r="B1292">
        <v>39</v>
      </c>
      <c r="C1292">
        <v>111</v>
      </c>
      <c r="D1292">
        <v>34.244391739132993</v>
      </c>
      <c r="E1292">
        <v>44.265791841076549</v>
      </c>
      <c r="F1292">
        <v>68.128636864860312</v>
      </c>
      <c r="H1292">
        <v>1</v>
      </c>
      <c r="I1292">
        <v>1</v>
      </c>
    </row>
    <row r="1293" spans="1:9">
      <c r="A1293" s="24">
        <v>6188</v>
      </c>
      <c r="B1293">
        <v>49</v>
      </c>
      <c r="C1293">
        <v>8690</v>
      </c>
      <c r="D1293">
        <v>19.619258922658311</v>
      </c>
      <c r="E1293">
        <v>25.9307044153908</v>
      </c>
      <c r="F1293">
        <v>41.196602220009964</v>
      </c>
    </row>
    <row r="1294" spans="1:9">
      <c r="A1294" s="24">
        <v>6189</v>
      </c>
      <c r="B1294">
        <v>33</v>
      </c>
      <c r="C1294">
        <v>285</v>
      </c>
      <c r="D1294">
        <v>33.119197538728493</v>
      </c>
      <c r="E1294">
        <v>42.261830923918033</v>
      </c>
      <c r="F1294">
        <v>63.803545184171888</v>
      </c>
      <c r="G1294">
        <v>1</v>
      </c>
      <c r="H1294">
        <v>1</v>
      </c>
      <c r="I1294">
        <v>1</v>
      </c>
    </row>
    <row r="1295" spans="1:9">
      <c r="A1295" s="24">
        <v>6190</v>
      </c>
      <c r="B1295">
        <v>18</v>
      </c>
      <c r="C1295">
        <v>180</v>
      </c>
      <c r="D1295">
        <v>12.683302077966374</v>
      </c>
      <c r="E1295">
        <v>17.082649101245568</v>
      </c>
      <c r="F1295">
        <v>27.844435550679233</v>
      </c>
      <c r="I1295">
        <v>1</v>
      </c>
    </row>
    <row r="1296" spans="1:9">
      <c r="A1296" s="24">
        <v>6191</v>
      </c>
      <c r="B1296">
        <v>16</v>
      </c>
      <c r="C1296">
        <v>12986</v>
      </c>
      <c r="D1296">
        <v>5.5054772477888161</v>
      </c>
      <c r="E1296">
        <v>7.4221252400859399</v>
      </c>
      <c r="F1296">
        <v>12.113135771770144</v>
      </c>
    </row>
    <row r="1297" spans="1:9">
      <c r="A1297" s="24">
        <v>6192</v>
      </c>
      <c r="B1297">
        <v>87</v>
      </c>
      <c r="C1297">
        <v>445</v>
      </c>
      <c r="D1297">
        <v>52.448459680490807</v>
      </c>
      <c r="E1297">
        <v>68.10985866972095</v>
      </c>
      <c r="F1297">
        <v>105.53270706904755</v>
      </c>
      <c r="I1297">
        <v>1</v>
      </c>
    </row>
    <row r="1298" spans="1:9">
      <c r="A1298" s="24">
        <v>6194</v>
      </c>
      <c r="B1298">
        <v>20</v>
      </c>
      <c r="C1298">
        <v>14</v>
      </c>
      <c r="D1298">
        <v>3.1218036551107704</v>
      </c>
      <c r="E1298">
        <v>4.8715393267796525</v>
      </c>
      <c r="F1298">
        <v>9.3858863520451354</v>
      </c>
    </row>
    <row r="1299" spans="1:9">
      <c r="A1299" s="24">
        <v>6195</v>
      </c>
      <c r="B1299">
        <v>42</v>
      </c>
      <c r="C1299">
        <v>14</v>
      </c>
      <c r="D1299">
        <v>30.924626100542994</v>
      </c>
      <c r="E1299">
        <v>39.712339126873772</v>
      </c>
      <c r="F1299">
        <v>60.528459073049376</v>
      </c>
      <c r="I1299">
        <v>1</v>
      </c>
    </row>
    <row r="1300" spans="1:9">
      <c r="A1300" s="24">
        <v>6196</v>
      </c>
      <c r="B1300">
        <v>53</v>
      </c>
      <c r="C1300">
        <v>402</v>
      </c>
      <c r="D1300">
        <v>34.448040976814916</v>
      </c>
      <c r="E1300">
        <v>44.250671086685855</v>
      </c>
      <c r="F1300">
        <v>67.476765109549348</v>
      </c>
      <c r="I1300">
        <v>1</v>
      </c>
    </row>
    <row r="1301" spans="1:9">
      <c r="A1301" s="24">
        <v>6197</v>
      </c>
      <c r="B1301">
        <v>30</v>
      </c>
      <c r="C1301">
        <v>154</v>
      </c>
      <c r="D1301">
        <v>25.711348093335939</v>
      </c>
      <c r="E1301">
        <v>32.991564581214632</v>
      </c>
      <c r="F1301">
        <v>50.225596327161206</v>
      </c>
      <c r="H1301">
        <v>1</v>
      </c>
      <c r="I1301">
        <v>1</v>
      </c>
    </row>
    <row r="1302" spans="1:9">
      <c r="A1302" s="24">
        <v>6198</v>
      </c>
      <c r="B1302">
        <v>15</v>
      </c>
      <c r="C1302">
        <v>5</v>
      </c>
      <c r="D1302">
        <v>4.4188252218918826</v>
      </c>
      <c r="E1302">
        <v>6.3361621034353339</v>
      </c>
      <c r="F1302">
        <v>11.161408723450874</v>
      </c>
    </row>
    <row r="1303" spans="1:9">
      <c r="A1303" s="24">
        <v>6199</v>
      </c>
      <c r="B1303">
        <v>14</v>
      </c>
      <c r="C1303">
        <v>1</v>
      </c>
      <c r="D1303">
        <v>1.9483003104732375</v>
      </c>
      <c r="E1303">
        <v>2.698930419347124</v>
      </c>
      <c r="F1303">
        <v>4.561410550309474</v>
      </c>
    </row>
    <row r="1304" spans="1:9">
      <c r="A1304" s="24">
        <v>6201</v>
      </c>
      <c r="B1304">
        <v>37</v>
      </c>
      <c r="C1304">
        <v>59</v>
      </c>
      <c r="D1304">
        <v>29.888460278961812</v>
      </c>
      <c r="E1304">
        <v>38.120152000101569</v>
      </c>
      <c r="F1304">
        <v>57.507101741174573</v>
      </c>
      <c r="H1304">
        <v>1</v>
      </c>
      <c r="I1304">
        <v>1</v>
      </c>
    </row>
    <row r="1305" spans="1:9">
      <c r="A1305" s="24">
        <v>6202</v>
      </c>
      <c r="B1305">
        <v>75</v>
      </c>
      <c r="C1305">
        <v>434</v>
      </c>
      <c r="D1305">
        <v>63.295759562932339</v>
      </c>
      <c r="E1305">
        <v>79.670935908690126</v>
      </c>
      <c r="F1305">
        <v>117.76964937730627</v>
      </c>
      <c r="H1305">
        <v>1</v>
      </c>
      <c r="I1305">
        <v>1</v>
      </c>
    </row>
    <row r="1306" spans="1:9">
      <c r="A1306" s="24">
        <v>6203</v>
      </c>
      <c r="B1306">
        <v>35</v>
      </c>
      <c r="C1306">
        <v>86</v>
      </c>
      <c r="D1306">
        <v>32.182807607204083</v>
      </c>
      <c r="E1306">
        <v>40.672231552174672</v>
      </c>
      <c r="F1306">
        <v>60.5007672610013</v>
      </c>
      <c r="H1306">
        <v>1</v>
      </c>
      <c r="I1306">
        <v>1</v>
      </c>
    </row>
    <row r="1307" spans="1:9">
      <c r="A1307" s="24">
        <v>6204</v>
      </c>
      <c r="B1307">
        <v>21</v>
      </c>
      <c r="C1307">
        <v>33</v>
      </c>
      <c r="D1307">
        <v>14.636883275741598</v>
      </c>
      <c r="E1307">
        <v>19.25362280927224</v>
      </c>
      <c r="F1307">
        <v>30.385646011803125</v>
      </c>
      <c r="I1307">
        <v>1</v>
      </c>
    </row>
    <row r="1308" spans="1:9">
      <c r="A1308" s="24">
        <v>6205</v>
      </c>
      <c r="B1308">
        <v>26</v>
      </c>
      <c r="C1308">
        <v>25</v>
      </c>
      <c r="D1308">
        <v>19.987944523543636</v>
      </c>
      <c r="E1308">
        <v>26.16431138380139</v>
      </c>
      <c r="F1308">
        <v>41.007469504988528</v>
      </c>
      <c r="H1308">
        <v>1</v>
      </c>
      <c r="I1308">
        <v>1</v>
      </c>
    </row>
    <row r="1309" spans="1:9">
      <c r="A1309" s="24">
        <v>6206</v>
      </c>
      <c r="B1309">
        <v>76</v>
      </c>
      <c r="C1309">
        <v>118</v>
      </c>
      <c r="D1309">
        <v>52.364920091608226</v>
      </c>
      <c r="E1309">
        <v>67.281444664210213</v>
      </c>
      <c r="F1309">
        <v>102.63086264178631</v>
      </c>
      <c r="I1309">
        <v>1</v>
      </c>
    </row>
    <row r="1310" spans="1:9">
      <c r="A1310" s="24">
        <v>6207</v>
      </c>
      <c r="B1310">
        <v>27</v>
      </c>
      <c r="C1310">
        <v>171</v>
      </c>
      <c r="D1310">
        <v>31.700864940162589</v>
      </c>
      <c r="E1310">
        <v>40.108709362173201</v>
      </c>
      <c r="F1310">
        <v>59.767727122052754</v>
      </c>
      <c r="G1310">
        <v>1</v>
      </c>
      <c r="H1310">
        <v>1</v>
      </c>
      <c r="I1310">
        <v>1</v>
      </c>
    </row>
    <row r="1311" spans="1:9">
      <c r="A1311" s="24">
        <v>6208</v>
      </c>
      <c r="B1311">
        <v>25</v>
      </c>
      <c r="C1311">
        <v>327</v>
      </c>
      <c r="D1311">
        <v>16.368769253892644</v>
      </c>
      <c r="E1311">
        <v>21.209438200188462</v>
      </c>
      <c r="F1311">
        <v>32.756976796239449</v>
      </c>
      <c r="I1311">
        <v>1</v>
      </c>
    </row>
    <row r="1312" spans="1:9">
      <c r="A1312" s="24">
        <v>6209</v>
      </c>
      <c r="B1312">
        <v>31</v>
      </c>
      <c r="C1312">
        <v>463</v>
      </c>
      <c r="D1312">
        <v>-28.657348357376179</v>
      </c>
      <c r="E1312">
        <v>-33.893254734246007</v>
      </c>
      <c r="F1312">
        <v>-45.050133731722354</v>
      </c>
    </row>
    <row r="1313" spans="1:9">
      <c r="A1313" s="24">
        <v>6210</v>
      </c>
      <c r="B1313">
        <v>38</v>
      </c>
      <c r="C1313">
        <v>92</v>
      </c>
      <c r="D1313">
        <v>21.106834917932488</v>
      </c>
      <c r="E1313">
        <v>27.262727039915209</v>
      </c>
      <c r="F1313">
        <v>41.912377755952591</v>
      </c>
      <c r="I1313">
        <v>1</v>
      </c>
    </row>
    <row r="1314" spans="1:9">
      <c r="A1314" s="24">
        <v>6212</v>
      </c>
      <c r="B1314">
        <v>37</v>
      </c>
      <c r="C1314">
        <v>5</v>
      </c>
      <c r="D1314">
        <v>30.683792890791558</v>
      </c>
      <c r="E1314">
        <v>39.301705599269731</v>
      </c>
      <c r="F1314">
        <v>59.672174608524841</v>
      </c>
      <c r="H1314">
        <v>1</v>
      </c>
      <c r="I1314">
        <v>1</v>
      </c>
    </row>
    <row r="1315" spans="1:9">
      <c r="A1315" s="24">
        <v>6213</v>
      </c>
      <c r="B1315">
        <v>128</v>
      </c>
      <c r="C1315">
        <v>2617</v>
      </c>
      <c r="D1315">
        <v>51.556593220056584</v>
      </c>
      <c r="E1315">
        <v>66.383220294296393</v>
      </c>
      <c r="F1315">
        <v>101.57959288486612</v>
      </c>
    </row>
    <row r="1316" spans="1:9">
      <c r="A1316" s="24">
        <v>6214</v>
      </c>
      <c r="B1316">
        <v>73</v>
      </c>
      <c r="C1316">
        <v>418</v>
      </c>
      <c r="D1316">
        <v>51.815923570080898</v>
      </c>
      <c r="E1316">
        <v>65.364527504663698</v>
      </c>
      <c r="F1316">
        <v>96.954370575830396</v>
      </c>
      <c r="I1316">
        <v>1</v>
      </c>
    </row>
    <row r="1317" spans="1:9">
      <c r="A1317" s="24">
        <v>6215</v>
      </c>
      <c r="B1317">
        <v>17</v>
      </c>
      <c r="C1317">
        <v>379</v>
      </c>
      <c r="D1317">
        <v>8.6334334286071428</v>
      </c>
      <c r="E1317">
        <v>11.581656490697378</v>
      </c>
      <c r="F1317">
        <v>18.777388145099575</v>
      </c>
      <c r="I1317">
        <v>1</v>
      </c>
    </row>
    <row r="1318" spans="1:9">
      <c r="A1318" s="24">
        <v>6216</v>
      </c>
      <c r="B1318">
        <v>29</v>
      </c>
      <c r="C1318">
        <v>44</v>
      </c>
      <c r="D1318">
        <v>22.681226334416351</v>
      </c>
      <c r="E1318">
        <v>29.145120971835272</v>
      </c>
      <c r="F1318">
        <v>44.46463710355718</v>
      </c>
      <c r="H1318">
        <v>1</v>
      </c>
      <c r="I1318">
        <v>1</v>
      </c>
    </row>
    <row r="1319" spans="1:9">
      <c r="A1319" s="24">
        <v>6217</v>
      </c>
      <c r="B1319">
        <v>34</v>
      </c>
      <c r="C1319">
        <v>572</v>
      </c>
      <c r="D1319">
        <v>14.410997523577253</v>
      </c>
      <c r="E1319">
        <v>19.223262950803445</v>
      </c>
      <c r="F1319">
        <v>30.929725018184918</v>
      </c>
    </row>
    <row r="1320" spans="1:9">
      <c r="A1320" s="24">
        <v>6218</v>
      </c>
      <c r="B1320">
        <v>22</v>
      </c>
      <c r="C1320">
        <v>61</v>
      </c>
      <c r="D1320">
        <v>19.34036766959467</v>
      </c>
      <c r="E1320">
        <v>24.773301981647386</v>
      </c>
      <c r="F1320">
        <v>37.615739267510385</v>
      </c>
      <c r="H1320">
        <v>1</v>
      </c>
      <c r="I1320">
        <v>1</v>
      </c>
    </row>
    <row r="1321" spans="1:9">
      <c r="A1321" s="24">
        <v>6219</v>
      </c>
      <c r="B1321">
        <v>15</v>
      </c>
      <c r="C1321">
        <v>786</v>
      </c>
      <c r="D1321">
        <v>7.3819056271068897</v>
      </c>
      <c r="E1321">
        <v>9.3344655887042709</v>
      </c>
      <c r="F1321">
        <v>13.897459924935298</v>
      </c>
    </row>
    <row r="1322" spans="1:9">
      <c r="A1322" s="24">
        <v>6220</v>
      </c>
      <c r="B1322">
        <v>31</v>
      </c>
      <c r="C1322">
        <v>424</v>
      </c>
      <c r="D1322">
        <v>27.285189981829703</v>
      </c>
      <c r="E1322">
        <v>34.629111813600375</v>
      </c>
      <c r="F1322">
        <v>51.84971492895248</v>
      </c>
      <c r="H1322">
        <v>1</v>
      </c>
      <c r="I1322">
        <v>1</v>
      </c>
    </row>
    <row r="1323" spans="1:9">
      <c r="A1323" s="24">
        <v>6221</v>
      </c>
      <c r="B1323">
        <v>52</v>
      </c>
      <c r="C1323">
        <v>103</v>
      </c>
      <c r="D1323">
        <v>28.726278719864212</v>
      </c>
      <c r="E1323">
        <v>37.230736093282474</v>
      </c>
      <c r="F1323">
        <v>57.522185780331093</v>
      </c>
      <c r="I1323">
        <v>1</v>
      </c>
    </row>
    <row r="1324" spans="1:9">
      <c r="A1324" s="24">
        <v>6222</v>
      </c>
      <c r="B1324">
        <v>14</v>
      </c>
      <c r="C1324">
        <v>71</v>
      </c>
      <c r="D1324">
        <v>2.5923774635099046</v>
      </c>
      <c r="E1324">
        <v>3.7172151006820626</v>
      </c>
      <c r="F1324">
        <v>6.5480264510911796</v>
      </c>
    </row>
    <row r="1325" spans="1:9">
      <c r="A1325" s="24">
        <v>6223</v>
      </c>
      <c r="B1325">
        <v>67</v>
      </c>
      <c r="C1325">
        <v>1893</v>
      </c>
      <c r="D1325">
        <v>33.923122676223144</v>
      </c>
      <c r="E1325">
        <v>44.907011066827863</v>
      </c>
      <c r="F1325">
        <v>71.501296416236016</v>
      </c>
      <c r="I1325">
        <v>1</v>
      </c>
    </row>
    <row r="1326" spans="1:9">
      <c r="A1326" s="24">
        <v>6224</v>
      </c>
      <c r="B1326">
        <v>65</v>
      </c>
      <c r="C1326">
        <v>413</v>
      </c>
      <c r="D1326">
        <v>42.988602904639947</v>
      </c>
      <c r="E1326">
        <v>55.649170325722167</v>
      </c>
      <c r="F1326">
        <v>85.829751822361288</v>
      </c>
      <c r="I1326">
        <v>1</v>
      </c>
    </row>
    <row r="1327" spans="1:9">
      <c r="A1327" s="24">
        <v>6225</v>
      </c>
      <c r="B1327">
        <v>3</v>
      </c>
      <c r="C1327">
        <v>1</v>
      </c>
      <c r="D1327">
        <v>0</v>
      </c>
      <c r="E1327">
        <v>0</v>
      </c>
      <c r="F1327">
        <v>0</v>
      </c>
    </row>
    <row r="1328" spans="1:9">
      <c r="A1328" s="24">
        <v>6226</v>
      </c>
      <c r="B1328">
        <v>8</v>
      </c>
      <c r="C1328">
        <v>137</v>
      </c>
      <c r="D1328">
        <v>7.65611601789894</v>
      </c>
      <c r="E1328">
        <v>10.658256324283021</v>
      </c>
      <c r="F1328">
        <v>18.123804818388372</v>
      </c>
      <c r="H1328">
        <v>1</v>
      </c>
      <c r="I1328">
        <v>1</v>
      </c>
    </row>
    <row r="1329" spans="1:9">
      <c r="A1329" s="24">
        <v>6227</v>
      </c>
      <c r="B1329">
        <v>25</v>
      </c>
      <c r="C1329">
        <v>153</v>
      </c>
      <c r="D1329">
        <v>18.932166978398733</v>
      </c>
      <c r="E1329">
        <v>24.455784529406415</v>
      </c>
      <c r="F1329">
        <v>37.601587655307178</v>
      </c>
      <c r="I1329">
        <v>1</v>
      </c>
    </row>
    <row r="1330" spans="1:9">
      <c r="A1330" s="24">
        <v>6228</v>
      </c>
      <c r="B1330">
        <v>7</v>
      </c>
      <c r="C1330">
        <v>9</v>
      </c>
      <c r="D1330">
        <v>0</v>
      </c>
      <c r="E1330">
        <v>0</v>
      </c>
      <c r="F1330">
        <v>0</v>
      </c>
    </row>
    <row r="1331" spans="1:9">
      <c r="A1331" s="24">
        <v>6229</v>
      </c>
      <c r="B1331">
        <v>13</v>
      </c>
      <c r="C1331">
        <v>7</v>
      </c>
      <c r="D1331">
        <v>9.6592827888081558</v>
      </c>
      <c r="E1331">
        <v>12.511889749864345</v>
      </c>
      <c r="F1331">
        <v>19.315253143239183</v>
      </c>
      <c r="I1331">
        <v>1</v>
      </c>
    </row>
    <row r="1332" spans="1:9">
      <c r="A1332" s="24">
        <v>6230</v>
      </c>
      <c r="B1332">
        <v>236</v>
      </c>
      <c r="C1332">
        <v>5016</v>
      </c>
      <c r="D1332">
        <v>92.597544289204336</v>
      </c>
      <c r="E1332">
        <v>123.29440808877453</v>
      </c>
      <c r="F1332">
        <v>197.88676185309231</v>
      </c>
    </row>
    <row r="1333" spans="1:9">
      <c r="A1333" s="24">
        <v>6231</v>
      </c>
      <c r="B1333">
        <v>43</v>
      </c>
      <c r="C1333">
        <v>56</v>
      </c>
      <c r="D1333">
        <v>18.980217064274854</v>
      </c>
      <c r="E1333">
        <v>25.555999909983655</v>
      </c>
      <c r="F1333">
        <v>41.639124885530059</v>
      </c>
    </row>
    <row r="1334" spans="1:9">
      <c r="A1334" s="24">
        <v>6233</v>
      </c>
      <c r="B1334">
        <v>8</v>
      </c>
      <c r="C1334">
        <v>186</v>
      </c>
      <c r="D1334">
        <v>0</v>
      </c>
      <c r="E1334">
        <v>0</v>
      </c>
      <c r="F1334">
        <v>0</v>
      </c>
    </row>
    <row r="1335" spans="1:9">
      <c r="A1335" s="24">
        <v>6234</v>
      </c>
      <c r="B1335">
        <v>27</v>
      </c>
      <c r="C1335">
        <v>209</v>
      </c>
      <c r="D1335">
        <v>20.402402491770136</v>
      </c>
      <c r="E1335">
        <v>26.040067052554797</v>
      </c>
      <c r="F1335">
        <v>39.325874869522607</v>
      </c>
      <c r="I1335">
        <v>1</v>
      </c>
    </row>
    <row r="1336" spans="1:9">
      <c r="A1336" s="24">
        <v>6235</v>
      </c>
      <c r="B1336">
        <v>14</v>
      </c>
      <c r="C1336">
        <v>1343</v>
      </c>
      <c r="D1336">
        <v>5.4011034143387695</v>
      </c>
      <c r="E1336">
        <v>7.2976770350759006</v>
      </c>
      <c r="F1336">
        <v>11.94524287252128</v>
      </c>
    </row>
    <row r="1337" spans="1:9">
      <c r="A1337" s="24">
        <v>6236</v>
      </c>
      <c r="B1337">
        <v>10</v>
      </c>
      <c r="C1337">
        <v>0</v>
      </c>
      <c r="D1337">
        <v>0</v>
      </c>
      <c r="E1337">
        <v>0</v>
      </c>
      <c r="F1337">
        <v>0</v>
      </c>
    </row>
    <row r="1338" spans="1:9">
      <c r="A1338" s="24">
        <v>6237</v>
      </c>
      <c r="B1338">
        <v>18</v>
      </c>
      <c r="C1338">
        <v>114</v>
      </c>
      <c r="D1338">
        <v>-20.282693070129859</v>
      </c>
      <c r="E1338">
        <v>-29.050021923725563</v>
      </c>
      <c r="F1338">
        <v>-51.10486769632066</v>
      </c>
    </row>
    <row r="1339" spans="1:9">
      <c r="A1339" s="24">
        <v>6238</v>
      </c>
      <c r="B1339">
        <v>157</v>
      </c>
      <c r="C1339">
        <v>467</v>
      </c>
      <c r="D1339">
        <v>74.211856347736926</v>
      </c>
      <c r="E1339">
        <v>97.819970329724981</v>
      </c>
      <c r="F1339">
        <v>154.82191184365175</v>
      </c>
    </row>
    <row r="1340" spans="1:9">
      <c r="A1340" s="24">
        <v>6239</v>
      </c>
      <c r="B1340">
        <v>86</v>
      </c>
      <c r="C1340">
        <v>4180</v>
      </c>
      <c r="D1340">
        <v>70.822923998296517</v>
      </c>
      <c r="E1340">
        <v>90.923616638441274</v>
      </c>
      <c r="F1340">
        <v>138.52704508294335</v>
      </c>
      <c r="H1340">
        <v>1</v>
      </c>
      <c r="I1340">
        <v>1</v>
      </c>
    </row>
    <row r="1341" spans="1:9">
      <c r="A1341" s="24">
        <v>6240</v>
      </c>
      <c r="B1341">
        <v>18</v>
      </c>
      <c r="C1341">
        <v>9</v>
      </c>
      <c r="D1341">
        <v>3.9769426997026947</v>
      </c>
      <c r="E1341">
        <v>5.7025458930918003</v>
      </c>
      <c r="F1341">
        <v>10.045267851105788</v>
      </c>
    </row>
    <row r="1342" spans="1:9">
      <c r="A1342" s="24">
        <v>6241</v>
      </c>
      <c r="B1342">
        <v>14</v>
      </c>
      <c r="C1342">
        <v>39</v>
      </c>
      <c r="D1342">
        <v>-1.7377295057959545</v>
      </c>
      <c r="E1342">
        <v>-2.05522534969632</v>
      </c>
      <c r="F1342">
        <v>-2.7317582090779036</v>
      </c>
    </row>
    <row r="1343" spans="1:9">
      <c r="A1343" s="24">
        <v>6242</v>
      </c>
      <c r="B1343">
        <v>43</v>
      </c>
      <c r="C1343">
        <v>3</v>
      </c>
      <c r="D1343">
        <v>26.195323849518807</v>
      </c>
      <c r="E1343">
        <v>34.888548707939982</v>
      </c>
      <c r="F1343">
        <v>56.016193977049099</v>
      </c>
      <c r="I1343">
        <v>1</v>
      </c>
    </row>
    <row r="1344" spans="1:9">
      <c r="A1344" s="24">
        <v>6243</v>
      </c>
      <c r="B1344">
        <v>11</v>
      </c>
      <c r="C1344">
        <v>346</v>
      </c>
      <c r="D1344">
        <v>0</v>
      </c>
      <c r="E1344">
        <v>0</v>
      </c>
      <c r="F1344">
        <v>0</v>
      </c>
    </row>
    <row r="1345" spans="1:9">
      <c r="A1345" s="24">
        <v>6244</v>
      </c>
      <c r="B1345">
        <v>9</v>
      </c>
      <c r="C1345">
        <v>3264</v>
      </c>
      <c r="D1345">
        <v>0</v>
      </c>
      <c r="E1345">
        <v>0</v>
      </c>
      <c r="F1345">
        <v>0</v>
      </c>
    </row>
    <row r="1346" spans="1:9">
      <c r="A1346" s="24">
        <v>6245</v>
      </c>
      <c r="B1346">
        <v>78</v>
      </c>
      <c r="C1346">
        <v>2289</v>
      </c>
      <c r="D1346">
        <v>39.284688947520621</v>
      </c>
      <c r="E1346">
        <v>51.338150648884039</v>
      </c>
      <c r="F1346">
        <v>80.271486855294143</v>
      </c>
      <c r="I1346">
        <v>1</v>
      </c>
    </row>
    <row r="1347" spans="1:9">
      <c r="A1347" s="24">
        <v>6246</v>
      </c>
      <c r="B1347">
        <v>10</v>
      </c>
      <c r="C1347">
        <v>13</v>
      </c>
      <c r="D1347">
        <v>5.5256074415007825</v>
      </c>
      <c r="E1347">
        <v>7.6254284276915794</v>
      </c>
      <c r="F1347">
        <v>12.826369114412854</v>
      </c>
      <c r="I1347">
        <v>1</v>
      </c>
    </row>
    <row r="1348" spans="1:9">
      <c r="A1348" s="24">
        <v>6247</v>
      </c>
      <c r="B1348">
        <v>10</v>
      </c>
      <c r="C1348">
        <v>0</v>
      </c>
      <c r="D1348">
        <v>-0.99080591627838166</v>
      </c>
      <c r="E1348">
        <v>-1.1718333773884406</v>
      </c>
      <c r="F1348">
        <v>-1.557573941380862</v>
      </c>
    </row>
    <row r="1349" spans="1:9">
      <c r="A1349" s="24">
        <v>6248</v>
      </c>
      <c r="B1349">
        <v>30</v>
      </c>
      <c r="C1349">
        <v>51</v>
      </c>
      <c r="D1349">
        <v>2.7690106970340511</v>
      </c>
      <c r="E1349">
        <v>3.3193285422359597</v>
      </c>
      <c r="F1349">
        <v>4.5215561824005253</v>
      </c>
    </row>
    <row r="1350" spans="1:9">
      <c r="A1350" s="24">
        <v>6251</v>
      </c>
      <c r="B1350">
        <v>10</v>
      </c>
      <c r="C1350">
        <v>389</v>
      </c>
      <c r="D1350">
        <v>0</v>
      </c>
      <c r="E1350">
        <v>0</v>
      </c>
      <c r="F1350">
        <v>0</v>
      </c>
    </row>
    <row r="1351" spans="1:9">
      <c r="A1351" s="24">
        <v>6257</v>
      </c>
      <c r="B1351">
        <v>30</v>
      </c>
      <c r="C1351">
        <v>1194</v>
      </c>
      <c r="D1351">
        <v>28.636387556136697</v>
      </c>
      <c r="E1351">
        <v>36.58859235156477</v>
      </c>
      <c r="F1351">
        <v>55.346196959350948</v>
      </c>
      <c r="H1351">
        <v>1</v>
      </c>
      <c r="I1351">
        <v>1</v>
      </c>
    </row>
    <row r="1352" spans="1:9">
      <c r="A1352" s="24">
        <v>6259</v>
      </c>
      <c r="B1352">
        <v>3</v>
      </c>
      <c r="C1352">
        <v>6</v>
      </c>
      <c r="D1352">
        <v>0</v>
      </c>
      <c r="E1352">
        <v>0</v>
      </c>
      <c r="F1352">
        <v>0</v>
      </c>
    </row>
    <row r="1353" spans="1:9">
      <c r="A1353" s="24">
        <v>6261</v>
      </c>
      <c r="B1353">
        <v>46</v>
      </c>
      <c r="C1353">
        <v>680</v>
      </c>
      <c r="D1353">
        <v>36.835619477094468</v>
      </c>
      <c r="E1353">
        <v>47.260014393963331</v>
      </c>
      <c r="F1353">
        <v>71.934633875191878</v>
      </c>
      <c r="H1353">
        <v>1</v>
      </c>
      <c r="I1353">
        <v>1</v>
      </c>
    </row>
    <row r="1354" spans="1:9">
      <c r="A1354" s="24">
        <v>6263</v>
      </c>
      <c r="B1354">
        <v>67</v>
      </c>
      <c r="C1354">
        <v>73</v>
      </c>
      <c r="D1354">
        <v>51.010316963698472</v>
      </c>
      <c r="E1354">
        <v>65.761801725354871</v>
      </c>
      <c r="F1354">
        <v>100.8144960315332</v>
      </c>
      <c r="I1354">
        <v>1</v>
      </c>
    </row>
    <row r="1355" spans="1:9">
      <c r="A1355" s="24">
        <v>6264</v>
      </c>
      <c r="B1355">
        <v>6</v>
      </c>
      <c r="C1355">
        <v>64</v>
      </c>
      <c r="D1355">
        <v>1.963922320840837</v>
      </c>
      <c r="E1355">
        <v>2.8160720459712594</v>
      </c>
      <c r="F1355">
        <v>4.9606260993114999</v>
      </c>
    </row>
    <row r="1356" spans="1:9">
      <c r="A1356" s="24">
        <v>6265</v>
      </c>
      <c r="B1356">
        <v>6</v>
      </c>
      <c r="C1356">
        <v>18</v>
      </c>
      <c r="D1356">
        <v>-3.6110071069521488</v>
      </c>
      <c r="E1356">
        <v>-4.2707644195419769</v>
      </c>
      <c r="F1356">
        <v>-5.6766017234292541</v>
      </c>
    </row>
    <row r="1357" spans="1:9">
      <c r="A1357" s="24">
        <v>6266</v>
      </c>
      <c r="B1357">
        <v>25</v>
      </c>
      <c r="C1357">
        <v>190</v>
      </c>
      <c r="D1357">
        <v>23.21177546888703</v>
      </c>
      <c r="E1357">
        <v>29.39447030289568</v>
      </c>
      <c r="F1357">
        <v>43.862800634742435</v>
      </c>
      <c r="H1357">
        <v>1</v>
      </c>
      <c r="I1357">
        <v>1</v>
      </c>
    </row>
    <row r="1358" spans="1:9">
      <c r="A1358" s="24">
        <v>6269</v>
      </c>
      <c r="B1358">
        <v>96</v>
      </c>
      <c r="C1358">
        <v>7203</v>
      </c>
      <c r="D1358">
        <v>61.582830771585222</v>
      </c>
      <c r="E1358">
        <v>80.88416870615707</v>
      </c>
      <c r="F1358">
        <v>127.37665957146925</v>
      </c>
      <c r="I1358">
        <v>1</v>
      </c>
    </row>
    <row r="1359" spans="1:9">
      <c r="A1359" s="24">
        <v>6270</v>
      </c>
      <c r="B1359">
        <v>13</v>
      </c>
      <c r="C1359">
        <v>25</v>
      </c>
      <c r="D1359">
        <v>11.60542100664412</v>
      </c>
      <c r="E1359">
        <v>14.588433152876389</v>
      </c>
      <c r="F1359">
        <v>21.519614003440566</v>
      </c>
      <c r="H1359">
        <v>1</v>
      </c>
      <c r="I1359">
        <v>1</v>
      </c>
    </row>
    <row r="1360" spans="1:9">
      <c r="A1360" s="24">
        <v>6271</v>
      </c>
      <c r="B1360">
        <v>126</v>
      </c>
      <c r="C1360">
        <v>2063</v>
      </c>
      <c r="D1360">
        <v>70.44308085402929</v>
      </c>
      <c r="E1360">
        <v>91.984489148399092</v>
      </c>
      <c r="F1360">
        <v>143.66421266385868</v>
      </c>
      <c r="I1360">
        <v>1</v>
      </c>
    </row>
    <row r="1361" spans="1:9">
      <c r="A1361" s="24">
        <v>6274</v>
      </c>
      <c r="B1361">
        <v>129</v>
      </c>
      <c r="C1361">
        <v>4594</v>
      </c>
      <c r="D1361">
        <v>70.305675501669157</v>
      </c>
      <c r="E1361">
        <v>93.067495532591977</v>
      </c>
      <c r="F1361">
        <v>148.17774950523818</v>
      </c>
      <c r="I1361">
        <v>1</v>
      </c>
    </row>
    <row r="1362" spans="1:9">
      <c r="A1362" s="24">
        <v>6275</v>
      </c>
      <c r="B1362">
        <v>20</v>
      </c>
      <c r="C1362">
        <v>376</v>
      </c>
      <c r="D1362">
        <v>17.508122715214544</v>
      </c>
      <c r="E1362">
        <v>23.405834323531629</v>
      </c>
      <c r="F1362">
        <v>37.771462566647621</v>
      </c>
      <c r="H1362">
        <v>1</v>
      </c>
      <c r="I1362">
        <v>1</v>
      </c>
    </row>
    <row r="1363" spans="1:9">
      <c r="A1363" s="24">
        <v>6276</v>
      </c>
      <c r="B1363">
        <v>10</v>
      </c>
      <c r="C1363">
        <v>78</v>
      </c>
      <c r="D1363">
        <v>2.7775338901591162</v>
      </c>
      <c r="E1363">
        <v>3.9288010536688369</v>
      </c>
      <c r="F1363">
        <v>6.8109981078810549</v>
      </c>
    </row>
    <row r="1364" spans="1:9">
      <c r="A1364" s="24">
        <v>6277</v>
      </c>
      <c r="B1364">
        <v>87</v>
      </c>
      <c r="C1364">
        <v>904</v>
      </c>
      <c r="D1364">
        <v>101.87750664882921</v>
      </c>
      <c r="E1364">
        <v>128.50721344848523</v>
      </c>
      <c r="F1364">
        <v>190.59278671689043</v>
      </c>
      <c r="G1364">
        <v>1</v>
      </c>
      <c r="H1364">
        <v>1</v>
      </c>
      <c r="I1364">
        <v>1</v>
      </c>
    </row>
    <row r="1365" spans="1:9">
      <c r="A1365" s="24">
        <v>6278</v>
      </c>
      <c r="B1365">
        <v>75</v>
      </c>
      <c r="C1365">
        <v>9210</v>
      </c>
      <c r="D1365">
        <v>28.615748183503165</v>
      </c>
      <c r="E1365">
        <v>38.043625922713382</v>
      </c>
      <c r="F1365">
        <v>60.931573876224725</v>
      </c>
    </row>
    <row r="1366" spans="1:9">
      <c r="A1366" s="24">
        <v>6279</v>
      </c>
      <c r="B1366">
        <v>79</v>
      </c>
      <c r="C1366">
        <v>123</v>
      </c>
      <c r="D1366">
        <v>50.850069308573623</v>
      </c>
      <c r="E1366">
        <v>66.025889653637662</v>
      </c>
      <c r="F1366">
        <v>102.28506938371365</v>
      </c>
      <c r="I1366">
        <v>1</v>
      </c>
    </row>
    <row r="1367" spans="1:9">
      <c r="A1367" s="24">
        <v>6281</v>
      </c>
      <c r="B1367">
        <v>64</v>
      </c>
      <c r="C1367">
        <v>40</v>
      </c>
      <c r="D1367">
        <v>45.506860577370901</v>
      </c>
      <c r="E1367">
        <v>59.07374612199375</v>
      </c>
      <c r="F1367">
        <v>91.482909352295678</v>
      </c>
      <c r="I1367">
        <v>1</v>
      </c>
    </row>
    <row r="1368" spans="1:9">
      <c r="A1368" s="24">
        <v>6282</v>
      </c>
      <c r="B1368">
        <v>22</v>
      </c>
      <c r="C1368">
        <v>2410</v>
      </c>
      <c r="D1368">
        <v>27.241780090290941</v>
      </c>
      <c r="E1368">
        <v>34.205640927195113</v>
      </c>
      <c r="F1368">
        <v>50.368402868833499</v>
      </c>
      <c r="G1368">
        <v>1</v>
      </c>
      <c r="H1368">
        <v>1</v>
      </c>
      <c r="I1368">
        <v>1</v>
      </c>
    </row>
    <row r="1369" spans="1:9">
      <c r="A1369" s="24">
        <v>6283</v>
      </c>
      <c r="B1369">
        <v>35</v>
      </c>
      <c r="C1369">
        <v>99</v>
      </c>
      <c r="D1369">
        <v>9.6739448600835232</v>
      </c>
      <c r="E1369">
        <v>13.800306177163922</v>
      </c>
      <c r="F1369">
        <v>24.16489732409352</v>
      </c>
    </row>
    <row r="1370" spans="1:9">
      <c r="A1370" s="24">
        <v>6284</v>
      </c>
      <c r="B1370">
        <v>30</v>
      </c>
      <c r="C1370">
        <v>317</v>
      </c>
      <c r="D1370">
        <v>22.368292315815857</v>
      </c>
      <c r="E1370">
        <v>29.54928804902368</v>
      </c>
      <c r="F1370">
        <v>46.912819622886722</v>
      </c>
      <c r="I1370">
        <v>1</v>
      </c>
    </row>
    <row r="1371" spans="1:9">
      <c r="A1371" s="24">
        <v>6285</v>
      </c>
      <c r="B1371">
        <v>79</v>
      </c>
      <c r="C1371">
        <v>1672</v>
      </c>
      <c r="D1371">
        <v>44.371173452775857</v>
      </c>
      <c r="E1371">
        <v>58.391201172890717</v>
      </c>
      <c r="F1371">
        <v>92.206197168426002</v>
      </c>
      <c r="I1371">
        <v>1</v>
      </c>
    </row>
    <row r="1372" spans="1:9">
      <c r="A1372" s="24">
        <v>6287</v>
      </c>
      <c r="B1372">
        <v>3</v>
      </c>
      <c r="C1372">
        <v>13</v>
      </c>
      <c r="D1372">
        <v>0</v>
      </c>
      <c r="E1372">
        <v>0</v>
      </c>
      <c r="F1372">
        <v>0</v>
      </c>
    </row>
    <row r="1373" spans="1:9">
      <c r="A1373" s="24">
        <v>6288</v>
      </c>
      <c r="B1373">
        <v>20</v>
      </c>
      <c r="C1373">
        <v>785</v>
      </c>
      <c r="D1373">
        <v>8.5099496735321392</v>
      </c>
      <c r="E1373">
        <v>11.37717389167207</v>
      </c>
      <c r="F1373">
        <v>18.361366493518926</v>
      </c>
    </row>
    <row r="1374" spans="1:9">
      <c r="A1374" s="24">
        <v>6289</v>
      </c>
      <c r="B1374">
        <v>1</v>
      </c>
      <c r="C1374">
        <v>63</v>
      </c>
      <c r="D1374">
        <v>0.15493164975522156</v>
      </c>
      <c r="E1374">
        <v>0.22215679473773267</v>
      </c>
      <c r="F1374">
        <v>0.3913382811679072</v>
      </c>
    </row>
    <row r="1375" spans="1:9">
      <c r="A1375" s="24">
        <v>6290</v>
      </c>
      <c r="B1375">
        <v>56</v>
      </c>
      <c r="C1375">
        <v>2664</v>
      </c>
      <c r="D1375">
        <v>15.211702294905894</v>
      </c>
      <c r="E1375">
        <v>20.062963738534059</v>
      </c>
      <c r="F1375">
        <v>31.781014933425254</v>
      </c>
    </row>
    <row r="1376" spans="1:9">
      <c r="A1376" s="24">
        <v>6291</v>
      </c>
      <c r="B1376">
        <v>13</v>
      </c>
      <c r="C1376">
        <v>0</v>
      </c>
      <c r="D1376">
        <v>0</v>
      </c>
      <c r="E1376">
        <v>0</v>
      </c>
      <c r="F1376">
        <v>0</v>
      </c>
    </row>
    <row r="1377" spans="1:9">
      <c r="A1377" s="24">
        <v>6292</v>
      </c>
      <c r="B1377">
        <v>33</v>
      </c>
      <c r="C1377">
        <v>78</v>
      </c>
      <c r="D1377">
        <v>23.81826527713034</v>
      </c>
      <c r="E1377">
        <v>30.154689650808599</v>
      </c>
      <c r="F1377">
        <v>44.979195100791522</v>
      </c>
      <c r="I1377">
        <v>1</v>
      </c>
    </row>
    <row r="1378" spans="1:9">
      <c r="A1378" s="24">
        <v>6294</v>
      </c>
      <c r="B1378">
        <v>102</v>
      </c>
      <c r="C1378">
        <v>30</v>
      </c>
      <c r="D1378">
        <v>113.14569357885097</v>
      </c>
      <c r="E1378">
        <v>142.97561514068735</v>
      </c>
      <c r="F1378">
        <v>212.64100099922075</v>
      </c>
      <c r="G1378">
        <v>1</v>
      </c>
      <c r="H1378">
        <v>1</v>
      </c>
      <c r="I1378">
        <v>1</v>
      </c>
    </row>
    <row r="1379" spans="1:9">
      <c r="A1379" s="24">
        <v>6404</v>
      </c>
      <c r="B1379">
        <v>9</v>
      </c>
      <c r="C1379">
        <v>39</v>
      </c>
      <c r="D1379">
        <v>-4.1073251662203489</v>
      </c>
      <c r="E1379">
        <v>-4.8577634050100063</v>
      </c>
      <c r="F1379">
        <v>-6.4568272580693513</v>
      </c>
    </row>
    <row r="1380" spans="1:9">
      <c r="A1380" s="24">
        <v>6405</v>
      </c>
      <c r="B1380">
        <v>14</v>
      </c>
      <c r="C1380">
        <v>11</v>
      </c>
      <c r="D1380">
        <v>5.5868935755748597</v>
      </c>
      <c r="E1380">
        <v>7.2334800352147521</v>
      </c>
      <c r="F1380">
        <v>11.159147051019225</v>
      </c>
    </row>
    <row r="1381" spans="1:9">
      <c r="A1381" s="24">
        <v>6409</v>
      </c>
      <c r="B1381">
        <v>664</v>
      </c>
      <c r="C1381">
        <v>27</v>
      </c>
      <c r="D1381">
        <v>345.4169225131219</v>
      </c>
      <c r="E1381">
        <v>458.60964868556846</v>
      </c>
      <c r="F1381">
        <v>733.18088610469863</v>
      </c>
      <c r="I1381">
        <v>1</v>
      </c>
    </row>
    <row r="1382" spans="1:9">
      <c r="A1382" s="24">
        <v>6411</v>
      </c>
      <c r="B1382">
        <v>87</v>
      </c>
      <c r="C1382">
        <v>2881</v>
      </c>
      <c r="D1382">
        <v>48.377894372993197</v>
      </c>
      <c r="E1382">
        <v>62.736290181573139</v>
      </c>
      <c r="F1382">
        <v>97.009935052807435</v>
      </c>
      <c r="I1382">
        <v>1</v>
      </c>
    </row>
    <row r="1383" spans="1:9">
      <c r="A1383" s="24">
        <v>6412</v>
      </c>
      <c r="B1383">
        <v>56</v>
      </c>
      <c r="C1383">
        <v>811</v>
      </c>
      <c r="D1383">
        <v>28.003578631666784</v>
      </c>
      <c r="E1383">
        <v>36.666297283499901</v>
      </c>
      <c r="F1383">
        <v>57.488438639343613</v>
      </c>
      <c r="I1383">
        <v>1</v>
      </c>
    </row>
    <row r="1384" spans="1:9">
      <c r="A1384" s="24">
        <v>6414</v>
      </c>
      <c r="B1384">
        <v>224</v>
      </c>
      <c r="C1384">
        <v>974</v>
      </c>
      <c r="D1384">
        <v>374.56537825939222</v>
      </c>
      <c r="E1384">
        <v>496.99088800787445</v>
      </c>
      <c r="F1384">
        <v>793.83948402006695</v>
      </c>
      <c r="G1384">
        <v>1</v>
      </c>
      <c r="H1384">
        <v>1</v>
      </c>
      <c r="I1384">
        <v>1</v>
      </c>
    </row>
    <row r="1385" spans="1:9">
      <c r="A1385" s="24">
        <v>6415</v>
      </c>
      <c r="B1385">
        <v>615</v>
      </c>
      <c r="C1385">
        <v>200</v>
      </c>
      <c r="D1385">
        <v>158.16859668880815</v>
      </c>
      <c r="E1385">
        <v>218.82095396516496</v>
      </c>
      <c r="F1385">
        <v>369.2225656282709</v>
      </c>
    </row>
    <row r="1386" spans="1:9">
      <c r="A1386" s="24">
        <v>6416</v>
      </c>
      <c r="B1386">
        <v>79</v>
      </c>
      <c r="C1386">
        <v>98</v>
      </c>
      <c r="D1386">
        <v>52.680290534754576</v>
      </c>
      <c r="E1386">
        <v>69.128073229097282</v>
      </c>
      <c r="F1386">
        <v>108.72240830713982</v>
      </c>
      <c r="I1386">
        <v>1</v>
      </c>
    </row>
    <row r="1387" spans="1:9">
      <c r="A1387" s="24">
        <v>6417</v>
      </c>
      <c r="B1387">
        <v>53</v>
      </c>
      <c r="C1387">
        <v>4</v>
      </c>
      <c r="D1387">
        <v>17.492922089804733</v>
      </c>
      <c r="E1387">
        <v>24.085561486734836</v>
      </c>
      <c r="F1387">
        <v>40.396929262406914</v>
      </c>
    </row>
    <row r="1388" spans="1:9">
      <c r="A1388" s="24">
        <v>6418</v>
      </c>
      <c r="B1388">
        <v>20</v>
      </c>
      <c r="C1388">
        <v>26</v>
      </c>
      <c r="D1388">
        <v>14.740846639543413</v>
      </c>
      <c r="E1388">
        <v>19.446880107042137</v>
      </c>
      <c r="F1388">
        <v>30.81602259923298</v>
      </c>
      <c r="I1388">
        <v>1</v>
      </c>
    </row>
    <row r="1389" spans="1:9">
      <c r="A1389" s="24">
        <v>6419</v>
      </c>
      <c r="B1389">
        <v>8</v>
      </c>
      <c r="C1389">
        <v>0</v>
      </c>
      <c r="D1389">
        <v>-2.8738993224491218</v>
      </c>
      <c r="E1389">
        <v>-3.3989816713545862</v>
      </c>
      <c r="F1389">
        <v>-4.5178481691071983</v>
      </c>
    </row>
    <row r="1390" spans="1:9">
      <c r="A1390" s="24">
        <v>6425</v>
      </c>
      <c r="B1390">
        <v>41</v>
      </c>
      <c r="C1390">
        <v>236</v>
      </c>
      <c r="D1390">
        <v>44.257190733937563</v>
      </c>
      <c r="E1390">
        <v>55.495660280091741</v>
      </c>
      <c r="F1390">
        <v>81.54381314632414</v>
      </c>
      <c r="G1390">
        <v>1</v>
      </c>
      <c r="H1390">
        <v>1</v>
      </c>
      <c r="I1390">
        <v>1</v>
      </c>
    </row>
    <row r="1391" spans="1:9">
      <c r="A1391" s="24">
        <v>6426</v>
      </c>
      <c r="B1391">
        <v>110</v>
      </c>
      <c r="C1391">
        <v>671</v>
      </c>
      <c r="D1391">
        <v>19.474389711612055</v>
      </c>
      <c r="E1391">
        <v>26.939650926211641</v>
      </c>
      <c r="F1391">
        <v>45.450702085093766</v>
      </c>
    </row>
    <row r="1392" spans="1:9">
      <c r="A1392" s="24">
        <v>6431</v>
      </c>
      <c r="B1392">
        <v>26</v>
      </c>
      <c r="C1392">
        <v>104</v>
      </c>
      <c r="D1392">
        <v>-0.53082816612582573</v>
      </c>
      <c r="E1392">
        <v>-0.62781434033077232</v>
      </c>
      <c r="F1392">
        <v>-0.83447636446720075</v>
      </c>
    </row>
    <row r="1393" spans="1:9">
      <c r="A1393" s="24">
        <v>6432</v>
      </c>
      <c r="B1393">
        <v>25</v>
      </c>
      <c r="C1393">
        <v>30</v>
      </c>
      <c r="D1393">
        <v>22.845175882155033</v>
      </c>
      <c r="E1393">
        <v>29.091128576861834</v>
      </c>
      <c r="F1393">
        <v>43.781043744696262</v>
      </c>
      <c r="H1393">
        <v>1</v>
      </c>
      <c r="I1393">
        <v>1</v>
      </c>
    </row>
    <row r="1394" spans="1:9">
      <c r="A1394" s="24">
        <v>6435</v>
      </c>
      <c r="B1394">
        <v>124</v>
      </c>
      <c r="C1394">
        <v>1171</v>
      </c>
      <c r="D1394">
        <v>95.816925622014566</v>
      </c>
      <c r="E1394">
        <v>122.79525083842449</v>
      </c>
      <c r="F1394">
        <v>186.59392505079407</v>
      </c>
      <c r="I1394">
        <v>1</v>
      </c>
    </row>
    <row r="1395" spans="1:9">
      <c r="A1395" s="24">
        <v>6438</v>
      </c>
      <c r="B1395">
        <v>54</v>
      </c>
      <c r="C1395">
        <v>1231</v>
      </c>
      <c r="D1395">
        <v>31.411415144998344</v>
      </c>
      <c r="E1395">
        <v>40.954059264653438</v>
      </c>
      <c r="F1395">
        <v>63.82264166219823</v>
      </c>
      <c r="I1395">
        <v>1</v>
      </c>
    </row>
    <row r="1396" spans="1:9">
      <c r="A1396" s="24">
        <v>6441</v>
      </c>
      <c r="B1396">
        <v>38</v>
      </c>
      <c r="C1396">
        <v>34</v>
      </c>
      <c r="D1396">
        <v>21.592283216420164</v>
      </c>
      <c r="E1396">
        <v>27.974385127161131</v>
      </c>
      <c r="F1396">
        <v>43.197694373013832</v>
      </c>
      <c r="I1396">
        <v>1</v>
      </c>
    </row>
    <row r="1397" spans="1:9">
      <c r="A1397" s="24">
        <v>6442</v>
      </c>
      <c r="B1397">
        <v>37</v>
      </c>
      <c r="C1397">
        <v>22</v>
      </c>
      <c r="D1397">
        <v>28.073565442960458</v>
      </c>
      <c r="E1397">
        <v>35.816032991783679</v>
      </c>
      <c r="F1397">
        <v>54.055477852508481</v>
      </c>
      <c r="I1397">
        <v>1</v>
      </c>
    </row>
    <row r="1398" spans="1:9">
      <c r="A1398" s="24">
        <v>6443</v>
      </c>
      <c r="B1398">
        <v>8</v>
      </c>
      <c r="C1398">
        <v>579</v>
      </c>
      <c r="D1398">
        <v>0</v>
      </c>
      <c r="E1398">
        <v>0</v>
      </c>
      <c r="F1398">
        <v>0</v>
      </c>
    </row>
    <row r="1399" spans="1:9">
      <c r="A1399" s="24">
        <v>6446</v>
      </c>
      <c r="B1399">
        <v>129</v>
      </c>
      <c r="C1399">
        <v>1663</v>
      </c>
      <c r="D1399">
        <v>0</v>
      </c>
      <c r="E1399">
        <v>0</v>
      </c>
      <c r="F1399">
        <v>0</v>
      </c>
    </row>
    <row r="1400" spans="1:9">
      <c r="A1400" s="24">
        <v>6449</v>
      </c>
      <c r="B1400">
        <v>30</v>
      </c>
      <c r="C1400">
        <v>43</v>
      </c>
      <c r="D1400">
        <v>19.151249468636266</v>
      </c>
      <c r="E1400">
        <v>24.999791217347965</v>
      </c>
      <c r="F1400">
        <v>39.027814327425766</v>
      </c>
      <c r="I1400">
        <v>1</v>
      </c>
    </row>
    <row r="1401" spans="1:9">
      <c r="A1401" s="24">
        <v>6451</v>
      </c>
      <c r="B1401">
        <v>115</v>
      </c>
      <c r="C1401">
        <v>701</v>
      </c>
      <c r="D1401">
        <v>31.057588166462498</v>
      </c>
      <c r="E1401">
        <v>41.506990846862685</v>
      </c>
      <c r="F1401">
        <v>66.955087632638367</v>
      </c>
    </row>
    <row r="1402" spans="1:9">
      <c r="A1402" s="24">
        <v>6452</v>
      </c>
      <c r="B1402">
        <v>236</v>
      </c>
      <c r="C1402">
        <v>922</v>
      </c>
      <c r="D1402">
        <v>121.40355513813557</v>
      </c>
      <c r="E1402">
        <v>158.69176945921606</v>
      </c>
      <c r="F1402">
        <v>248.21442128095447</v>
      </c>
      <c r="I1402">
        <v>1</v>
      </c>
    </row>
    <row r="1403" spans="1:9">
      <c r="A1403" s="24">
        <v>6456</v>
      </c>
      <c r="B1403">
        <v>118</v>
      </c>
      <c r="C1403">
        <v>6974</v>
      </c>
      <c r="D1403">
        <v>62.693335668588176</v>
      </c>
      <c r="E1403">
        <v>83.69112691280489</v>
      </c>
      <c r="F1403">
        <v>134.79381322984591</v>
      </c>
      <c r="I1403">
        <v>1</v>
      </c>
    </row>
    <row r="1404" spans="1:9">
      <c r="A1404" s="24">
        <v>6457</v>
      </c>
      <c r="B1404">
        <v>27</v>
      </c>
      <c r="C1404">
        <v>7</v>
      </c>
      <c r="D1404">
        <v>19.697484046615727</v>
      </c>
      <c r="E1404">
        <v>25.644593516233698</v>
      </c>
      <c r="F1404">
        <v>39.881826775267996</v>
      </c>
      <c r="I1404">
        <v>1</v>
      </c>
    </row>
    <row r="1405" spans="1:9">
      <c r="A1405" s="24">
        <v>6461</v>
      </c>
      <c r="B1405">
        <v>21</v>
      </c>
      <c r="C1405">
        <v>57</v>
      </c>
      <c r="D1405">
        <v>0</v>
      </c>
      <c r="E1405">
        <v>0</v>
      </c>
      <c r="F1405">
        <v>0</v>
      </c>
    </row>
    <row r="1406" spans="1:9">
      <c r="A1406" s="24">
        <v>6462</v>
      </c>
      <c r="B1406">
        <v>222</v>
      </c>
      <c r="C1406">
        <v>4217</v>
      </c>
      <c r="D1406">
        <v>67.647057431992124</v>
      </c>
      <c r="E1406">
        <v>92.556901717469088</v>
      </c>
      <c r="F1406">
        <v>153.99943190372599</v>
      </c>
    </row>
    <row r="1407" spans="1:9">
      <c r="A1407" s="24">
        <v>6464</v>
      </c>
      <c r="B1407">
        <v>111</v>
      </c>
      <c r="C1407">
        <v>28</v>
      </c>
      <c r="D1407">
        <v>71.249696781656596</v>
      </c>
      <c r="E1407">
        <v>94.417734620206886</v>
      </c>
      <c r="F1407">
        <v>150.54933991817347</v>
      </c>
      <c r="I1407">
        <v>1</v>
      </c>
    </row>
    <row r="1408" spans="1:9">
      <c r="A1408" s="24">
        <v>6465</v>
      </c>
      <c r="B1408">
        <v>58</v>
      </c>
      <c r="C1408">
        <v>1</v>
      </c>
      <c r="D1408">
        <v>-124.61126360834851</v>
      </c>
      <c r="E1408">
        <v>-176.57866316137051</v>
      </c>
      <c r="F1408">
        <v>-306.77214182174464</v>
      </c>
    </row>
    <row r="1409" spans="1:9">
      <c r="A1409" s="24">
        <v>6469</v>
      </c>
      <c r="B1409">
        <v>90</v>
      </c>
      <c r="C1409">
        <v>45</v>
      </c>
      <c r="D1409">
        <v>34.003139530699627</v>
      </c>
      <c r="E1409">
        <v>45.460441512931794</v>
      </c>
      <c r="F1409">
        <v>73.369241644211797</v>
      </c>
    </row>
    <row r="1410" spans="1:9">
      <c r="A1410" s="24">
        <v>6470</v>
      </c>
      <c r="B1410">
        <v>45</v>
      </c>
      <c r="C1410">
        <v>119</v>
      </c>
      <c r="D1410">
        <v>30.850764040933271</v>
      </c>
      <c r="E1410">
        <v>39.718714023790874</v>
      </c>
      <c r="F1410">
        <v>60.768270355737911</v>
      </c>
      <c r="I1410">
        <v>1</v>
      </c>
    </row>
    <row r="1411" spans="1:9">
      <c r="A1411" s="24">
        <v>6472</v>
      </c>
      <c r="B1411">
        <v>196</v>
      </c>
      <c r="C1411">
        <v>1064</v>
      </c>
      <c r="D1411">
        <v>97.149946835562304</v>
      </c>
      <c r="E1411">
        <v>124.50995624725671</v>
      </c>
      <c r="F1411">
        <v>189.21399103048273</v>
      </c>
    </row>
    <row r="1412" spans="1:9">
      <c r="A1412" s="24">
        <v>6477</v>
      </c>
      <c r="B1412">
        <v>21</v>
      </c>
      <c r="C1412">
        <v>244</v>
      </c>
      <c r="D1412">
        <v>10.522393921280145</v>
      </c>
      <c r="E1412">
        <v>14.155111562315518</v>
      </c>
      <c r="F1412">
        <v>23.035550674596387</v>
      </c>
      <c r="I1412">
        <v>1</v>
      </c>
    </row>
    <row r="1413" spans="1:9">
      <c r="A1413" s="24">
        <v>6482</v>
      </c>
      <c r="B1413">
        <v>29</v>
      </c>
      <c r="C1413">
        <v>4</v>
      </c>
      <c r="D1413">
        <v>-20.875944386676238</v>
      </c>
      <c r="E1413">
        <v>-24.69013155341192</v>
      </c>
      <c r="F1413">
        <v>-32.817554320363172</v>
      </c>
    </row>
    <row r="1414" spans="1:9">
      <c r="A1414" s="24">
        <v>6485</v>
      </c>
      <c r="B1414">
        <v>39</v>
      </c>
      <c r="C1414">
        <v>5</v>
      </c>
      <c r="D1414">
        <v>16.80609284995333</v>
      </c>
      <c r="E1414">
        <v>22.599852450042199</v>
      </c>
      <c r="F1414">
        <v>36.760178727439154</v>
      </c>
    </row>
    <row r="1415" spans="1:9">
      <c r="A1415" s="24">
        <v>6486</v>
      </c>
      <c r="B1415">
        <v>69</v>
      </c>
      <c r="C1415">
        <v>332</v>
      </c>
      <c r="D1415">
        <v>46.695384034621839</v>
      </c>
      <c r="E1415">
        <v>59.629912716641911</v>
      </c>
      <c r="F1415">
        <v>90.125501118745959</v>
      </c>
      <c r="I1415">
        <v>1</v>
      </c>
    </row>
    <row r="1416" spans="1:9">
      <c r="A1416" s="24">
        <v>6488</v>
      </c>
      <c r="B1416">
        <v>337</v>
      </c>
      <c r="C1416">
        <v>3176</v>
      </c>
      <c r="D1416">
        <v>303.59282369171336</v>
      </c>
      <c r="E1416">
        <v>386.68948389321997</v>
      </c>
      <c r="F1416">
        <v>582.16685380875151</v>
      </c>
      <c r="H1416">
        <v>1</v>
      </c>
      <c r="I1416">
        <v>1</v>
      </c>
    </row>
    <row r="1417" spans="1:9">
      <c r="A1417" s="24">
        <v>6492</v>
      </c>
      <c r="B1417">
        <v>68</v>
      </c>
      <c r="C1417">
        <v>16</v>
      </c>
      <c r="D1417">
        <v>0</v>
      </c>
      <c r="E1417">
        <v>0</v>
      </c>
      <c r="F1417">
        <v>0</v>
      </c>
    </row>
    <row r="1418" spans="1:9">
      <c r="A1418" s="24">
        <v>6494</v>
      </c>
      <c r="B1418">
        <v>31</v>
      </c>
      <c r="C1418">
        <v>41</v>
      </c>
      <c r="D1418">
        <v>23.41342834697722</v>
      </c>
      <c r="E1418">
        <v>30.160332986493703</v>
      </c>
      <c r="F1418">
        <v>46.182347850551977</v>
      </c>
      <c r="I1418">
        <v>1</v>
      </c>
    </row>
    <row r="1419" spans="1:9">
      <c r="A1419" s="24">
        <v>6496</v>
      </c>
      <c r="B1419">
        <v>42</v>
      </c>
      <c r="C1419">
        <v>33</v>
      </c>
      <c r="D1419">
        <v>38.1613990092644</v>
      </c>
      <c r="E1419">
        <v>48.519959891893947</v>
      </c>
      <c r="F1419">
        <v>72.849000043274373</v>
      </c>
      <c r="H1419">
        <v>1</v>
      </c>
      <c r="I1419">
        <v>1</v>
      </c>
    </row>
    <row r="1420" spans="1:9">
      <c r="A1420" s="24">
        <v>6497</v>
      </c>
      <c r="B1420">
        <v>20</v>
      </c>
      <c r="C1420">
        <v>76</v>
      </c>
      <c r="D1420">
        <v>0</v>
      </c>
      <c r="E1420">
        <v>0</v>
      </c>
      <c r="F1420">
        <v>0</v>
      </c>
    </row>
    <row r="1421" spans="1:9">
      <c r="A1421" s="24">
        <v>6499</v>
      </c>
      <c r="B1421">
        <v>78</v>
      </c>
      <c r="C1421">
        <v>6</v>
      </c>
      <c r="D1421">
        <v>16.960718779532268</v>
      </c>
      <c r="E1421">
        <v>24.150654420438862</v>
      </c>
      <c r="F1421">
        <v>42.197611070778777</v>
      </c>
    </row>
    <row r="1422" spans="1:9">
      <c r="A1422" s="24">
        <v>6504</v>
      </c>
      <c r="B1422">
        <v>152</v>
      </c>
      <c r="C1422">
        <v>113</v>
      </c>
      <c r="D1422">
        <v>103.94298940441564</v>
      </c>
      <c r="E1422">
        <v>139.56488239211444</v>
      </c>
      <c r="F1422">
        <v>226.55238395276652</v>
      </c>
      <c r="I1422">
        <v>1</v>
      </c>
    </row>
    <row r="1423" spans="1:9">
      <c r="A1423" s="24">
        <v>6505</v>
      </c>
      <c r="B1423">
        <v>106</v>
      </c>
      <c r="C1423">
        <v>1000</v>
      </c>
      <c r="D1423">
        <v>58.992474890157411</v>
      </c>
      <c r="E1423">
        <v>76.138138974664997</v>
      </c>
      <c r="F1423">
        <v>116.91606282469365</v>
      </c>
      <c r="I1423">
        <v>1</v>
      </c>
    </row>
    <row r="1424" spans="1:9">
      <c r="A1424" s="24">
        <v>6506</v>
      </c>
      <c r="B1424">
        <v>18</v>
      </c>
      <c r="C1424">
        <v>22</v>
      </c>
      <c r="D1424">
        <v>11.532815473285599</v>
      </c>
      <c r="E1424">
        <v>15.016326689893514</v>
      </c>
      <c r="F1424">
        <v>23.356370323405752</v>
      </c>
      <c r="I1424">
        <v>1</v>
      </c>
    </row>
    <row r="1425" spans="1:9">
      <c r="A1425" s="24">
        <v>6508</v>
      </c>
      <c r="B1425">
        <v>29</v>
      </c>
      <c r="C1425">
        <v>29</v>
      </c>
      <c r="D1425">
        <v>22.397825898341452</v>
      </c>
      <c r="E1425">
        <v>29.013438518205632</v>
      </c>
      <c r="F1425">
        <v>44.79185461085271</v>
      </c>
      <c r="H1425">
        <v>1</v>
      </c>
      <c r="I1425">
        <v>1</v>
      </c>
    </row>
    <row r="1426" spans="1:9">
      <c r="A1426" s="24">
        <v>6509</v>
      </c>
      <c r="B1426">
        <v>18</v>
      </c>
      <c r="C1426">
        <v>238</v>
      </c>
      <c r="D1426">
        <v>23.978669657316924</v>
      </c>
      <c r="E1426">
        <v>32.944846953166063</v>
      </c>
      <c r="F1426">
        <v>55.10590563075715</v>
      </c>
      <c r="G1426">
        <v>1</v>
      </c>
      <c r="H1426">
        <v>1</v>
      </c>
      <c r="I1426">
        <v>1</v>
      </c>
    </row>
    <row r="1427" spans="1:9">
      <c r="A1427" s="24">
        <v>6510</v>
      </c>
      <c r="B1427">
        <v>434</v>
      </c>
      <c r="C1427">
        <v>265</v>
      </c>
      <c r="D1427">
        <v>227.48448956208517</v>
      </c>
      <c r="E1427">
        <v>309.8062242105525</v>
      </c>
      <c r="F1427">
        <v>512.38276594165109</v>
      </c>
      <c r="I1427">
        <v>1</v>
      </c>
    </row>
    <row r="1428" spans="1:9">
      <c r="A1428" s="24">
        <v>6512</v>
      </c>
      <c r="B1428">
        <v>17</v>
      </c>
      <c r="C1428">
        <v>6</v>
      </c>
      <c r="D1428">
        <v>10.283700680196279</v>
      </c>
      <c r="E1428">
        <v>13.879385017420448</v>
      </c>
      <c r="F1428">
        <v>22.685295540040112</v>
      </c>
      <c r="I1428">
        <v>1</v>
      </c>
    </row>
    <row r="1429" spans="1:9">
      <c r="A1429" s="24">
        <v>6514</v>
      </c>
      <c r="B1429">
        <v>58</v>
      </c>
      <c r="C1429">
        <v>132</v>
      </c>
      <c r="D1429">
        <v>24.956901339965306</v>
      </c>
      <c r="E1429">
        <v>33.164860808307985</v>
      </c>
      <c r="F1429">
        <v>53.085884521940997</v>
      </c>
      <c r="G1429">
        <v>1</v>
      </c>
      <c r="H1429">
        <v>1</v>
      </c>
      <c r="I1429">
        <v>1</v>
      </c>
    </row>
    <row r="1430" spans="1:9">
      <c r="A1430" s="24">
        <v>6516</v>
      </c>
      <c r="B1430">
        <v>154</v>
      </c>
      <c r="C1430">
        <v>15</v>
      </c>
      <c r="D1430">
        <v>51.125579695992244</v>
      </c>
      <c r="E1430">
        <v>69.701673470018861</v>
      </c>
      <c r="F1430">
        <v>115.43873196901581</v>
      </c>
    </row>
    <row r="1431" spans="1:9">
      <c r="A1431" s="24">
        <v>6523</v>
      </c>
      <c r="B1431">
        <v>66</v>
      </c>
      <c r="C1431">
        <v>84</v>
      </c>
      <c r="D1431">
        <v>25.036617634609012</v>
      </c>
      <c r="E1431">
        <v>34.039831520766597</v>
      </c>
      <c r="F1431">
        <v>56.175676775822282</v>
      </c>
    </row>
    <row r="1432" spans="1:9">
      <c r="A1432" s="24">
        <v>6525</v>
      </c>
      <c r="B1432">
        <v>65</v>
      </c>
      <c r="C1432">
        <v>137</v>
      </c>
      <c r="D1432">
        <v>41.024421042150465</v>
      </c>
      <c r="E1432">
        <v>53.422601462271778</v>
      </c>
      <c r="F1432">
        <v>83.10837595980945</v>
      </c>
      <c r="I1432">
        <v>1</v>
      </c>
    </row>
    <row r="1433" spans="1:9">
      <c r="A1433" s="24">
        <v>6530</v>
      </c>
      <c r="B1433">
        <v>15</v>
      </c>
      <c r="C1433">
        <v>9</v>
      </c>
      <c r="D1433">
        <v>9.6465081006492497</v>
      </c>
      <c r="E1433">
        <v>12.696578389358237</v>
      </c>
      <c r="F1433">
        <v>20.053852062565561</v>
      </c>
      <c r="I1433">
        <v>1</v>
      </c>
    </row>
    <row r="1434" spans="1:9">
      <c r="A1434" s="24">
        <v>6531</v>
      </c>
      <c r="B1434">
        <v>40</v>
      </c>
      <c r="C1434">
        <v>33</v>
      </c>
      <c r="D1434">
        <v>11.897783605245721</v>
      </c>
      <c r="E1434">
        <v>15.8031724591981</v>
      </c>
      <c r="F1434">
        <v>25.278876547984908</v>
      </c>
    </row>
    <row r="1435" spans="1:9">
      <c r="A1435" s="24">
        <v>6532</v>
      </c>
      <c r="B1435">
        <v>29</v>
      </c>
      <c r="C1435">
        <v>55</v>
      </c>
      <c r="D1435">
        <v>26.465596378476903</v>
      </c>
      <c r="E1435">
        <v>34.004484591786792</v>
      </c>
      <c r="F1435">
        <v>51.870250436161413</v>
      </c>
      <c r="H1435">
        <v>1</v>
      </c>
      <c r="I1435">
        <v>1</v>
      </c>
    </row>
    <row r="1436" spans="1:9">
      <c r="A1436" s="24">
        <v>6533</v>
      </c>
      <c r="B1436">
        <v>137</v>
      </c>
      <c r="C1436">
        <v>2243</v>
      </c>
      <c r="D1436">
        <v>39.618768751939015</v>
      </c>
      <c r="E1436">
        <v>55.528241780080833</v>
      </c>
      <c r="F1436">
        <v>95.20713955986669</v>
      </c>
    </row>
    <row r="1437" spans="1:9">
      <c r="A1437" s="24">
        <v>6535</v>
      </c>
      <c r="B1437">
        <v>30</v>
      </c>
      <c r="C1437">
        <v>116</v>
      </c>
      <c r="D1437">
        <v>0</v>
      </c>
      <c r="E1437">
        <v>0</v>
      </c>
      <c r="F1437">
        <v>0</v>
      </c>
    </row>
    <row r="1438" spans="1:9">
      <c r="A1438" s="24">
        <v>6538</v>
      </c>
      <c r="B1438">
        <v>63</v>
      </c>
      <c r="C1438">
        <v>62</v>
      </c>
      <c r="D1438">
        <v>17.441999495678925</v>
      </c>
      <c r="E1438">
        <v>21.933629307801333</v>
      </c>
      <c r="F1438">
        <v>32.374142320855043</v>
      </c>
    </row>
    <row r="1439" spans="1:9">
      <c r="A1439" s="24">
        <v>6541</v>
      </c>
      <c r="B1439">
        <v>76</v>
      </c>
      <c r="C1439">
        <v>149</v>
      </c>
      <c r="D1439">
        <v>0</v>
      </c>
      <c r="E1439">
        <v>0</v>
      </c>
      <c r="F1439">
        <v>0</v>
      </c>
    </row>
    <row r="1440" spans="1:9">
      <c r="A1440" s="24">
        <v>6542</v>
      </c>
      <c r="B1440">
        <v>74</v>
      </c>
      <c r="C1440">
        <v>13</v>
      </c>
      <c r="D1440">
        <v>42.389594614899366</v>
      </c>
      <c r="E1440">
        <v>57.750831672793709</v>
      </c>
      <c r="F1440">
        <v>95.558803304974333</v>
      </c>
      <c r="I1440">
        <v>1</v>
      </c>
    </row>
    <row r="1441" spans="1:9">
      <c r="A1441" s="24">
        <v>6547</v>
      </c>
      <c r="B1441">
        <v>32</v>
      </c>
      <c r="C1441">
        <v>236</v>
      </c>
      <c r="D1441">
        <v>0</v>
      </c>
      <c r="E1441">
        <v>0</v>
      </c>
      <c r="F1441">
        <v>0</v>
      </c>
    </row>
    <row r="1442" spans="1:9">
      <c r="A1442" s="24">
        <v>6548</v>
      </c>
      <c r="B1442">
        <v>272</v>
      </c>
      <c r="C1442">
        <v>44</v>
      </c>
      <c r="D1442">
        <v>226.80976508902324</v>
      </c>
      <c r="E1442">
        <v>292.79133724206054</v>
      </c>
      <c r="F1442">
        <v>449.74246651079261</v>
      </c>
      <c r="H1442">
        <v>1</v>
      </c>
      <c r="I1442">
        <v>1</v>
      </c>
    </row>
    <row r="1443" spans="1:9">
      <c r="A1443" s="24">
        <v>6552</v>
      </c>
      <c r="B1443">
        <v>108</v>
      </c>
      <c r="C1443">
        <v>3643</v>
      </c>
      <c r="D1443">
        <v>43.768353741805043</v>
      </c>
      <c r="E1443">
        <v>56.70014561930531</v>
      </c>
      <c r="F1443">
        <v>87.544469224944919</v>
      </c>
    </row>
    <row r="1444" spans="1:9">
      <c r="A1444" s="24">
        <v>6556</v>
      </c>
      <c r="B1444">
        <v>44</v>
      </c>
      <c r="C1444">
        <v>10</v>
      </c>
      <c r="D1444">
        <v>13.557699267200565</v>
      </c>
      <c r="E1444">
        <v>17.899565046252231</v>
      </c>
      <c r="F1444">
        <v>28.394096656027671</v>
      </c>
    </row>
    <row r="1445" spans="1:9">
      <c r="A1445" s="24">
        <v>6558</v>
      </c>
      <c r="B1445">
        <v>66</v>
      </c>
      <c r="C1445">
        <v>1606</v>
      </c>
      <c r="D1445">
        <v>21.517765837036226</v>
      </c>
      <c r="E1445">
        <v>29.446810007946663</v>
      </c>
      <c r="F1445">
        <v>49.006381000729363</v>
      </c>
    </row>
    <row r="1446" spans="1:9">
      <c r="A1446" s="24">
        <v>6560</v>
      </c>
      <c r="B1446">
        <v>45</v>
      </c>
      <c r="C1446">
        <v>9</v>
      </c>
      <c r="D1446">
        <v>30.301273226776019</v>
      </c>
      <c r="E1446">
        <v>39.123093182251665</v>
      </c>
      <c r="F1446">
        <v>60.11051732651817</v>
      </c>
      <c r="I1446">
        <v>1</v>
      </c>
    </row>
    <row r="1447" spans="1:9">
      <c r="A1447" s="24">
        <v>6561</v>
      </c>
      <c r="B1447">
        <v>226</v>
      </c>
      <c r="C1447">
        <v>121</v>
      </c>
      <c r="D1447">
        <v>88.893833040368349</v>
      </c>
      <c r="E1447">
        <v>119.18251253783902</v>
      </c>
      <c r="F1447">
        <v>193.08402983008511</v>
      </c>
    </row>
    <row r="1448" spans="1:9">
      <c r="A1448" s="24">
        <v>6568</v>
      </c>
      <c r="B1448">
        <v>209</v>
      </c>
      <c r="C1448">
        <v>340</v>
      </c>
      <c r="D1448">
        <v>65.217035159223656</v>
      </c>
      <c r="E1448">
        <v>88.222649322795533</v>
      </c>
      <c r="F1448">
        <v>144.63444220019798</v>
      </c>
    </row>
    <row r="1449" spans="1:9">
      <c r="A1449" s="24">
        <v>6569</v>
      </c>
      <c r="B1449">
        <v>180</v>
      </c>
      <c r="C1449">
        <v>34</v>
      </c>
      <c r="D1449">
        <v>89.805945297456674</v>
      </c>
      <c r="E1449">
        <v>116.33721198872536</v>
      </c>
      <c r="F1449">
        <v>179.61723825692974</v>
      </c>
    </row>
    <row r="1450" spans="1:9">
      <c r="A1450" s="24">
        <v>6570</v>
      </c>
      <c r="B1450">
        <v>41</v>
      </c>
      <c r="C1450">
        <v>5</v>
      </c>
      <c r="D1450">
        <v>18.589791573471466</v>
      </c>
      <c r="E1450">
        <v>24.551581350731134</v>
      </c>
      <c r="F1450">
        <v>38.964750085605012</v>
      </c>
    </row>
    <row r="1451" spans="1:9">
      <c r="A1451" s="24">
        <v>6573</v>
      </c>
      <c r="B1451">
        <v>25</v>
      </c>
      <c r="C1451">
        <v>61</v>
      </c>
      <c r="D1451">
        <v>1.6254755901122557</v>
      </c>
      <c r="E1451">
        <v>2.252286032777751</v>
      </c>
      <c r="F1451">
        <v>3.8077178961387617</v>
      </c>
    </row>
    <row r="1452" spans="1:9">
      <c r="A1452" s="24">
        <v>6574</v>
      </c>
      <c r="B1452">
        <v>82</v>
      </c>
      <c r="C1452">
        <v>10</v>
      </c>
      <c r="D1452">
        <v>54.160888677758365</v>
      </c>
      <c r="E1452">
        <v>71.604377846493932</v>
      </c>
      <c r="F1452">
        <v>113.80368031557039</v>
      </c>
      <c r="I1452">
        <v>1</v>
      </c>
    </row>
    <row r="1453" spans="1:9">
      <c r="A1453" s="24">
        <v>6576</v>
      </c>
      <c r="B1453">
        <v>80</v>
      </c>
      <c r="C1453">
        <v>211</v>
      </c>
      <c r="D1453">
        <v>0</v>
      </c>
      <c r="E1453">
        <v>0</v>
      </c>
      <c r="F1453">
        <v>0</v>
      </c>
    </row>
    <row r="1454" spans="1:9">
      <c r="A1454" s="24">
        <v>6577</v>
      </c>
      <c r="B1454">
        <v>70</v>
      </c>
      <c r="C1454">
        <v>116</v>
      </c>
      <c r="D1454">
        <v>68.178106142747069</v>
      </c>
      <c r="E1454">
        <v>85.674076282159504</v>
      </c>
      <c r="F1454">
        <v>126.31346630650793</v>
      </c>
      <c r="H1454">
        <v>1</v>
      </c>
      <c r="I1454">
        <v>1</v>
      </c>
    </row>
    <row r="1455" spans="1:9">
      <c r="A1455" s="24">
        <v>6578</v>
      </c>
      <c r="B1455">
        <v>27</v>
      </c>
      <c r="C1455">
        <v>24</v>
      </c>
      <c r="D1455">
        <v>11.679345832919431</v>
      </c>
      <c r="E1455">
        <v>15.993751907170127</v>
      </c>
      <c r="F1455">
        <v>26.640177224993344</v>
      </c>
    </row>
    <row r="1456" spans="1:9">
      <c r="A1456" s="24">
        <v>6579</v>
      </c>
      <c r="B1456">
        <v>84</v>
      </c>
      <c r="C1456">
        <v>63</v>
      </c>
      <c r="D1456">
        <v>45.109400402419823</v>
      </c>
      <c r="E1456">
        <v>59.341190651089086</v>
      </c>
      <c r="F1456">
        <v>93.658654594386164</v>
      </c>
      <c r="I1456">
        <v>1</v>
      </c>
    </row>
    <row r="1457" spans="1:9">
      <c r="A1457" s="24">
        <v>6581</v>
      </c>
      <c r="B1457">
        <v>96</v>
      </c>
      <c r="C1457">
        <v>25</v>
      </c>
      <c r="D1457">
        <v>57.983746514583189</v>
      </c>
      <c r="E1457">
        <v>76.505112829459961</v>
      </c>
      <c r="F1457">
        <v>121.2540448713887</v>
      </c>
      <c r="I1457">
        <v>1</v>
      </c>
    </row>
    <row r="1458" spans="1:9">
      <c r="A1458" s="24">
        <v>6582</v>
      </c>
      <c r="B1458">
        <v>55</v>
      </c>
      <c r="C1458">
        <v>19</v>
      </c>
      <c r="D1458">
        <v>35.596019718141619</v>
      </c>
      <c r="E1458">
        <v>46.788249876642674</v>
      </c>
      <c r="F1458">
        <v>73.761630438529153</v>
      </c>
      <c r="I1458">
        <v>1</v>
      </c>
    </row>
    <row r="1459" spans="1:9">
      <c r="A1459" s="24">
        <v>6589</v>
      </c>
      <c r="B1459">
        <v>34</v>
      </c>
      <c r="C1459">
        <v>591</v>
      </c>
      <c r="D1459">
        <v>0</v>
      </c>
      <c r="E1459">
        <v>0</v>
      </c>
      <c r="F1459">
        <v>0</v>
      </c>
    </row>
    <row r="1460" spans="1:9">
      <c r="A1460" s="24">
        <v>6590</v>
      </c>
      <c r="B1460">
        <v>31</v>
      </c>
      <c r="C1460">
        <v>7</v>
      </c>
      <c r="D1460">
        <v>10.998252196242177</v>
      </c>
      <c r="E1460">
        <v>14.1731975972646</v>
      </c>
      <c r="F1460">
        <v>21.715192236115545</v>
      </c>
    </row>
    <row r="1461" spans="1:9">
      <c r="A1461" s="24">
        <v>6591</v>
      </c>
      <c r="B1461">
        <v>49</v>
      </c>
      <c r="C1461">
        <v>1217</v>
      </c>
      <c r="D1461">
        <v>15.464914415782893</v>
      </c>
      <c r="E1461">
        <v>20.954431725833448</v>
      </c>
      <c r="F1461">
        <v>34.42701523218512</v>
      </c>
    </row>
    <row r="1462" spans="1:9">
      <c r="A1462" s="24">
        <v>6593</v>
      </c>
      <c r="B1462">
        <v>28</v>
      </c>
      <c r="C1462">
        <v>10</v>
      </c>
      <c r="D1462">
        <v>15.35005445934225</v>
      </c>
      <c r="E1462">
        <v>20.596588955819477</v>
      </c>
      <c r="F1462">
        <v>33.403473270625682</v>
      </c>
      <c r="I1462">
        <v>1</v>
      </c>
    </row>
    <row r="1463" spans="1:9">
      <c r="A1463" s="24">
        <v>6594</v>
      </c>
      <c r="B1463">
        <v>20</v>
      </c>
      <c r="C1463">
        <v>23</v>
      </c>
      <c r="D1463">
        <v>10.388058425796377</v>
      </c>
      <c r="E1463">
        <v>14.006509634660045</v>
      </c>
      <c r="F1463">
        <v>22.863398413834339</v>
      </c>
      <c r="I1463">
        <v>1</v>
      </c>
    </row>
    <row r="1464" spans="1:9">
      <c r="A1464" s="24">
        <v>6596</v>
      </c>
      <c r="B1464">
        <v>63</v>
      </c>
      <c r="C1464">
        <v>19</v>
      </c>
      <c r="D1464">
        <v>12.096810853002797</v>
      </c>
      <c r="E1464">
        <v>15.653768527098617</v>
      </c>
      <c r="F1464">
        <v>24.130589256130502</v>
      </c>
    </row>
    <row r="1465" spans="1:9">
      <c r="A1465" s="24">
        <v>6603</v>
      </c>
      <c r="B1465">
        <v>12</v>
      </c>
      <c r="C1465">
        <v>326</v>
      </c>
      <c r="D1465">
        <v>14.39575433647542</v>
      </c>
      <c r="E1465">
        <v>18.593756146786873</v>
      </c>
      <c r="F1465">
        <v>28.583823556783571</v>
      </c>
      <c r="G1465">
        <v>1</v>
      </c>
      <c r="H1465">
        <v>1</v>
      </c>
      <c r="I1465">
        <v>1</v>
      </c>
    </row>
    <row r="1466" spans="1:9">
      <c r="A1466" s="24">
        <v>6605</v>
      </c>
      <c r="B1466">
        <v>73</v>
      </c>
      <c r="C1466">
        <v>119</v>
      </c>
      <c r="D1466">
        <v>39.725595502305353</v>
      </c>
      <c r="E1466">
        <v>53.021636101424463</v>
      </c>
      <c r="F1466">
        <v>85.377095545058097</v>
      </c>
      <c r="I1466">
        <v>1</v>
      </c>
    </row>
    <row r="1467" spans="1:9">
      <c r="A1467" s="24">
        <v>6609</v>
      </c>
      <c r="B1467">
        <v>30</v>
      </c>
      <c r="C1467">
        <v>42</v>
      </c>
      <c r="D1467">
        <v>28.032993484771879</v>
      </c>
      <c r="E1467">
        <v>36.048187391505209</v>
      </c>
      <c r="F1467">
        <v>55.055456810049279</v>
      </c>
      <c r="H1467">
        <v>1</v>
      </c>
      <c r="I1467">
        <v>1</v>
      </c>
    </row>
    <row r="1468" spans="1:9">
      <c r="A1468" s="24">
        <v>6612</v>
      </c>
      <c r="B1468">
        <v>70</v>
      </c>
      <c r="C1468">
        <v>167</v>
      </c>
      <c r="D1468">
        <v>29.069820232231422</v>
      </c>
      <c r="E1468">
        <v>41.041000102111205</v>
      </c>
      <c r="F1468">
        <v>70.987920034738536</v>
      </c>
      <c r="I1468">
        <v>1</v>
      </c>
    </row>
    <row r="1469" spans="1:9">
      <c r="A1469" s="24">
        <v>6613</v>
      </c>
      <c r="B1469">
        <v>151</v>
      </c>
      <c r="C1469">
        <v>28</v>
      </c>
      <c r="D1469">
        <v>118.90539171240579</v>
      </c>
      <c r="E1469">
        <v>154.52975601425069</v>
      </c>
      <c r="F1469">
        <v>239.70237121378952</v>
      </c>
      <c r="H1469">
        <v>1</v>
      </c>
      <c r="I1469">
        <v>1</v>
      </c>
    </row>
    <row r="1470" spans="1:9">
      <c r="A1470" s="24">
        <v>6615</v>
      </c>
      <c r="B1470">
        <v>92</v>
      </c>
      <c r="C1470">
        <v>94</v>
      </c>
      <c r="D1470">
        <v>36.073521242210461</v>
      </c>
      <c r="E1470">
        <v>49.975519707422087</v>
      </c>
      <c r="F1470">
        <v>84.470667494348234</v>
      </c>
    </row>
    <row r="1471" spans="1:9">
      <c r="A1471" s="24">
        <v>6616</v>
      </c>
      <c r="B1471">
        <v>27</v>
      </c>
      <c r="C1471">
        <v>15</v>
      </c>
      <c r="D1471">
        <v>9.8841415903163412</v>
      </c>
      <c r="E1471">
        <v>13.229225920131533</v>
      </c>
      <c r="F1471">
        <v>21.382794565786739</v>
      </c>
    </row>
    <row r="1472" spans="1:9">
      <c r="A1472" s="24">
        <v>6624</v>
      </c>
      <c r="B1472">
        <v>58</v>
      </c>
      <c r="C1472">
        <v>16</v>
      </c>
      <c r="D1472">
        <v>24.346359482496958</v>
      </c>
      <c r="E1472">
        <v>32.405768993915792</v>
      </c>
      <c r="F1472">
        <v>51.985599563262937</v>
      </c>
    </row>
    <row r="1473" spans="1:9">
      <c r="A1473" s="24">
        <v>6625</v>
      </c>
      <c r="B1473">
        <v>50</v>
      </c>
      <c r="C1473">
        <v>14</v>
      </c>
      <c r="D1473">
        <v>21.681105127261642</v>
      </c>
      <c r="E1473">
        <v>28.724460246709178</v>
      </c>
      <c r="F1473">
        <v>45.786647085837053</v>
      </c>
    </row>
    <row r="1474" spans="1:9">
      <c r="A1474" s="24">
        <v>6629</v>
      </c>
      <c r="B1474">
        <v>43</v>
      </c>
      <c r="C1474">
        <v>50</v>
      </c>
      <c r="D1474">
        <v>13.46611931309606</v>
      </c>
      <c r="E1474">
        <v>18.812439254779278</v>
      </c>
      <c r="F1474">
        <v>32.127833755101122</v>
      </c>
    </row>
    <row r="1475" spans="1:9">
      <c r="A1475" s="24">
        <v>6640</v>
      </c>
      <c r="B1475">
        <v>40</v>
      </c>
      <c r="C1475">
        <v>11</v>
      </c>
      <c r="D1475">
        <v>25.715532677859194</v>
      </c>
      <c r="E1475">
        <v>33.72417075809588</v>
      </c>
      <c r="F1475">
        <v>52.995272360565195</v>
      </c>
      <c r="I1475">
        <v>1</v>
      </c>
    </row>
    <row r="1476" spans="1:9">
      <c r="A1476" s="24">
        <v>6641</v>
      </c>
      <c r="B1476">
        <v>65</v>
      </c>
      <c r="C1476">
        <v>19</v>
      </c>
      <c r="D1476">
        <v>39.444236280987923</v>
      </c>
      <c r="E1476">
        <v>53.557560966277777</v>
      </c>
      <c r="F1476">
        <v>88.233428506942843</v>
      </c>
      <c r="I1476">
        <v>1</v>
      </c>
    </row>
    <row r="1477" spans="1:9">
      <c r="A1477" s="24">
        <v>6643</v>
      </c>
      <c r="B1477">
        <v>334</v>
      </c>
      <c r="C1477">
        <v>290</v>
      </c>
      <c r="D1477">
        <v>107.21236587704485</v>
      </c>
      <c r="E1477">
        <v>149.52347906758831</v>
      </c>
      <c r="F1477">
        <v>254.82434652664085</v>
      </c>
    </row>
    <row r="1478" spans="1:9">
      <c r="A1478" s="24">
        <v>6649</v>
      </c>
      <c r="B1478">
        <v>41</v>
      </c>
      <c r="C1478">
        <v>26</v>
      </c>
      <c r="D1478">
        <v>0</v>
      </c>
      <c r="E1478">
        <v>0</v>
      </c>
      <c r="F1478">
        <v>0</v>
      </c>
    </row>
    <row r="1479" spans="1:9">
      <c r="A1479" s="24">
        <v>6654</v>
      </c>
      <c r="B1479">
        <v>61</v>
      </c>
      <c r="C1479">
        <v>30</v>
      </c>
      <c r="D1479">
        <v>38.862907812949942</v>
      </c>
      <c r="E1479">
        <v>51.834033259092834</v>
      </c>
      <c r="F1479">
        <v>83.38566240494923</v>
      </c>
      <c r="I1479">
        <v>1</v>
      </c>
    </row>
    <row r="1480" spans="1:9">
      <c r="A1480" s="24">
        <v>6655</v>
      </c>
      <c r="B1480">
        <v>44</v>
      </c>
      <c r="C1480">
        <v>30</v>
      </c>
      <c r="D1480">
        <v>20.473026120886907</v>
      </c>
      <c r="E1480">
        <v>28.189194579007516</v>
      </c>
      <c r="F1480">
        <v>47.280504292554255</v>
      </c>
      <c r="I1480">
        <v>1</v>
      </c>
    </row>
    <row r="1481" spans="1:9">
      <c r="A1481" s="24">
        <v>6662</v>
      </c>
      <c r="B1481">
        <v>41</v>
      </c>
      <c r="C1481">
        <v>8</v>
      </c>
      <c r="D1481">
        <v>14.6445805364318</v>
      </c>
      <c r="E1481">
        <v>19.925017652110675</v>
      </c>
      <c r="F1481">
        <v>32.912633591952627</v>
      </c>
    </row>
    <row r="1482" spans="1:9">
      <c r="A1482" s="24">
        <v>6666</v>
      </c>
      <c r="B1482">
        <v>199</v>
      </c>
      <c r="C1482">
        <v>308</v>
      </c>
      <c r="D1482">
        <v>69.841232487883133</v>
      </c>
      <c r="E1482">
        <v>97.269820521949939</v>
      </c>
      <c r="F1482">
        <v>165.49075439906028</v>
      </c>
    </row>
    <row r="1483" spans="1:9">
      <c r="A1483" s="24">
        <v>6667</v>
      </c>
      <c r="B1483">
        <v>37</v>
      </c>
      <c r="C1483">
        <v>39</v>
      </c>
      <c r="D1483">
        <v>21.707852547401004</v>
      </c>
      <c r="E1483">
        <v>29.201322057483075</v>
      </c>
      <c r="F1483">
        <v>47.519335927386905</v>
      </c>
      <c r="I1483">
        <v>1</v>
      </c>
    </row>
    <row r="1484" spans="1:9">
      <c r="A1484" s="24">
        <v>6668</v>
      </c>
      <c r="B1484">
        <v>68</v>
      </c>
      <c r="C1484">
        <v>236</v>
      </c>
      <c r="D1484">
        <v>20.377457990241727</v>
      </c>
      <c r="E1484">
        <v>28.540509310247327</v>
      </c>
      <c r="F1484">
        <v>48.89349960625038</v>
      </c>
    </row>
    <row r="1485" spans="1:9">
      <c r="A1485" s="24">
        <v>6669</v>
      </c>
      <c r="B1485">
        <v>392</v>
      </c>
      <c r="C1485">
        <v>2624</v>
      </c>
      <c r="D1485">
        <v>153.11522887922376</v>
      </c>
      <c r="E1485">
        <v>208.87799988012699</v>
      </c>
      <c r="F1485">
        <v>346.21749281261481</v>
      </c>
    </row>
    <row r="1486" spans="1:9">
      <c r="A1486" s="24">
        <v>6670</v>
      </c>
      <c r="B1486">
        <v>174</v>
      </c>
      <c r="C1486">
        <v>526</v>
      </c>
      <c r="D1486">
        <v>92.29890816092832</v>
      </c>
      <c r="E1486">
        <v>124.37223618206085</v>
      </c>
      <c r="F1486">
        <v>202.85126987286066</v>
      </c>
      <c r="I1486">
        <v>1</v>
      </c>
    </row>
    <row r="1487" spans="1:9">
      <c r="A1487" s="24">
        <v>6671</v>
      </c>
      <c r="B1487">
        <v>43</v>
      </c>
      <c r="C1487">
        <v>3</v>
      </c>
      <c r="D1487">
        <v>15.228824114599625</v>
      </c>
      <c r="E1487">
        <v>20.872536728428699</v>
      </c>
      <c r="F1487">
        <v>34.805189480067646</v>
      </c>
    </row>
    <row r="1488" spans="1:9">
      <c r="A1488" s="24">
        <v>6672</v>
      </c>
      <c r="B1488">
        <v>89</v>
      </c>
      <c r="C1488">
        <v>1072</v>
      </c>
      <c r="D1488">
        <v>28.425474180059155</v>
      </c>
      <c r="E1488">
        <v>39.433224235397347</v>
      </c>
      <c r="F1488">
        <v>66.763641978003733</v>
      </c>
    </row>
    <row r="1489" spans="1:9">
      <c r="A1489" s="24">
        <v>6674</v>
      </c>
      <c r="B1489">
        <v>36</v>
      </c>
      <c r="C1489">
        <v>399</v>
      </c>
      <c r="D1489">
        <v>13.191947953727681</v>
      </c>
      <c r="E1489">
        <v>17.906753912073462</v>
      </c>
      <c r="F1489">
        <v>29.48902681738106</v>
      </c>
    </row>
    <row r="1490" spans="1:9">
      <c r="A1490" s="24">
        <v>6679</v>
      </c>
      <c r="B1490">
        <v>115</v>
      </c>
      <c r="C1490">
        <v>473</v>
      </c>
      <c r="D1490">
        <v>29.818901837703294</v>
      </c>
      <c r="E1490">
        <v>41.460750544314671</v>
      </c>
      <c r="F1490">
        <v>70.395240914310392</v>
      </c>
    </row>
    <row r="1491" spans="1:9">
      <c r="A1491" s="24">
        <v>6683</v>
      </c>
      <c r="B1491">
        <v>117</v>
      </c>
      <c r="C1491">
        <v>62</v>
      </c>
      <c r="D1491">
        <v>31.689466334007495</v>
      </c>
      <c r="E1491">
        <v>43.833412017103498</v>
      </c>
      <c r="F1491">
        <v>73.944637502606639</v>
      </c>
    </row>
    <row r="1492" spans="1:9">
      <c r="A1492" s="24">
        <v>6803</v>
      </c>
      <c r="B1492">
        <v>208</v>
      </c>
      <c r="C1492">
        <v>119</v>
      </c>
      <c r="D1492">
        <v>156.93104522812899</v>
      </c>
      <c r="E1492">
        <v>203.88124892780564</v>
      </c>
      <c r="F1492">
        <v>316.10515501268753</v>
      </c>
      <c r="I1492">
        <v>1</v>
      </c>
    </row>
    <row r="1493" spans="1:9">
      <c r="A1493" s="24">
        <v>7402</v>
      </c>
      <c r="B1493">
        <v>49</v>
      </c>
      <c r="C1493">
        <v>35</v>
      </c>
      <c r="D1493">
        <v>26.427842330828504</v>
      </c>
      <c r="E1493">
        <v>35.296748247708962</v>
      </c>
      <c r="F1493">
        <v>56.887506760714579</v>
      </c>
      <c r="I1493">
        <v>1</v>
      </c>
    </row>
    <row r="1494" spans="1:9">
      <c r="A1494" s="24">
        <v>8011</v>
      </c>
      <c r="B1494">
        <v>17</v>
      </c>
      <c r="C1494">
        <v>338</v>
      </c>
      <c r="D1494">
        <v>-188.70045618529255</v>
      </c>
      <c r="E1494">
        <v>-270.41961285131305</v>
      </c>
      <c r="F1494">
        <v>-476.03287627767168</v>
      </c>
    </row>
    <row r="1495" spans="1:9">
      <c r="A1495" s="24">
        <v>8016</v>
      </c>
      <c r="B1495">
        <v>144</v>
      </c>
      <c r="C1495">
        <v>2615</v>
      </c>
      <c r="D1495">
        <v>77.88177163383412</v>
      </c>
      <c r="E1495">
        <v>102.48970152476107</v>
      </c>
      <c r="F1495">
        <v>161.84153764575575</v>
      </c>
      <c r="I1495">
        <v>1</v>
      </c>
    </row>
    <row r="1496" spans="1:9">
      <c r="A1496" s="24">
        <v>8021</v>
      </c>
      <c r="B1496">
        <v>19</v>
      </c>
      <c r="C1496">
        <v>158</v>
      </c>
      <c r="D1496">
        <v>14.18468592674467</v>
      </c>
      <c r="E1496">
        <v>18.568164845503446</v>
      </c>
      <c r="F1496">
        <v>29.102757990332293</v>
      </c>
      <c r="I1496">
        <v>1</v>
      </c>
    </row>
    <row r="1497" spans="1:9">
      <c r="A1497" s="24">
        <v>8024</v>
      </c>
      <c r="B1497">
        <v>10</v>
      </c>
      <c r="C1497">
        <v>41</v>
      </c>
      <c r="D1497">
        <v>3.3768853850635381</v>
      </c>
      <c r="E1497">
        <v>4.4230612738501724</v>
      </c>
      <c r="F1497">
        <v>6.9383153392107761</v>
      </c>
    </row>
    <row r="1498" spans="1:9">
      <c r="A1498" s="24">
        <v>8027</v>
      </c>
      <c r="B1498">
        <v>28</v>
      </c>
      <c r="C1498">
        <v>101</v>
      </c>
      <c r="D1498">
        <v>50.410105793930327</v>
      </c>
      <c r="E1498">
        <v>61.70532188346553</v>
      </c>
      <c r="F1498">
        <v>87.163039639300578</v>
      </c>
      <c r="G1498">
        <v>1</v>
      </c>
      <c r="H1498">
        <v>1</v>
      </c>
      <c r="I1498">
        <v>1</v>
      </c>
    </row>
    <row r="1499" spans="1:9">
      <c r="A1499" s="24">
        <v>8028</v>
      </c>
      <c r="B1499">
        <v>68</v>
      </c>
      <c r="C1499">
        <v>8404</v>
      </c>
      <c r="D1499">
        <v>23.323414873275908</v>
      </c>
      <c r="E1499">
        <v>30.726885002697131</v>
      </c>
      <c r="F1499">
        <v>48.596439448587894</v>
      </c>
    </row>
    <row r="1500" spans="1:9">
      <c r="A1500" s="24">
        <v>8032</v>
      </c>
      <c r="B1500">
        <v>26</v>
      </c>
      <c r="C1500">
        <v>9</v>
      </c>
      <c r="D1500">
        <v>25.250082352325368</v>
      </c>
      <c r="E1500">
        <v>32.540740974660054</v>
      </c>
      <c r="F1500">
        <v>49.860145022922595</v>
      </c>
      <c r="H1500">
        <v>1</v>
      </c>
      <c r="I1500">
        <v>1</v>
      </c>
    </row>
    <row r="1501" spans="1:9">
      <c r="A1501" s="24">
        <v>8033</v>
      </c>
      <c r="B1501">
        <v>11</v>
      </c>
      <c r="C1501">
        <v>719</v>
      </c>
      <c r="D1501">
        <v>0</v>
      </c>
      <c r="E1501">
        <v>0</v>
      </c>
      <c r="F1501">
        <v>0</v>
      </c>
    </row>
    <row r="1502" spans="1:9">
      <c r="A1502" s="24">
        <v>8034</v>
      </c>
      <c r="B1502">
        <v>10</v>
      </c>
      <c r="C1502">
        <v>37</v>
      </c>
      <c r="D1502">
        <v>2.7102128027603545</v>
      </c>
      <c r="E1502">
        <v>3.8861794234403377</v>
      </c>
      <c r="F1502">
        <v>6.8456640170498693</v>
      </c>
    </row>
    <row r="1503" spans="1:9">
      <c r="A1503" s="24">
        <v>8038</v>
      </c>
      <c r="B1503">
        <v>52</v>
      </c>
      <c r="C1503">
        <v>262</v>
      </c>
      <c r="D1503">
        <v>0</v>
      </c>
      <c r="E1503">
        <v>0</v>
      </c>
      <c r="F1503">
        <v>0</v>
      </c>
    </row>
    <row r="1504" spans="1:9">
      <c r="A1504" s="24">
        <v>8039</v>
      </c>
      <c r="B1504">
        <v>47</v>
      </c>
      <c r="C1504">
        <v>2576</v>
      </c>
      <c r="D1504">
        <v>29.108986544388326</v>
      </c>
      <c r="E1504">
        <v>37.79577546263824</v>
      </c>
      <c r="F1504">
        <v>58.550654660417976</v>
      </c>
      <c r="I1504">
        <v>1</v>
      </c>
    </row>
    <row r="1505" spans="1:9">
      <c r="A1505" s="24">
        <v>8040</v>
      </c>
      <c r="B1505">
        <v>11</v>
      </c>
      <c r="C1505">
        <v>821</v>
      </c>
      <c r="D1505">
        <v>0</v>
      </c>
      <c r="E1505">
        <v>0</v>
      </c>
      <c r="F1505">
        <v>0</v>
      </c>
    </row>
    <row r="1506" spans="1:9">
      <c r="A1506" s="24">
        <v>8042</v>
      </c>
      <c r="B1506">
        <v>35</v>
      </c>
      <c r="C1506">
        <v>126</v>
      </c>
      <c r="D1506">
        <v>14.644270426505342</v>
      </c>
      <c r="E1506">
        <v>19.418990907092716</v>
      </c>
      <c r="F1506">
        <v>30.992027313643177</v>
      </c>
    </row>
    <row r="1507" spans="1:9">
      <c r="A1507" s="24">
        <v>8043</v>
      </c>
      <c r="B1507">
        <v>37</v>
      </c>
      <c r="C1507">
        <v>141</v>
      </c>
      <c r="D1507">
        <v>34.532866628257089</v>
      </c>
      <c r="E1507">
        <v>44.08343012216794</v>
      </c>
      <c r="F1507">
        <v>66.594101846878232</v>
      </c>
      <c r="H1507">
        <v>1</v>
      </c>
      <c r="I1507">
        <v>1</v>
      </c>
    </row>
    <row r="1508" spans="1:9">
      <c r="A1508" s="24">
        <v>8044</v>
      </c>
      <c r="B1508">
        <v>157</v>
      </c>
      <c r="C1508">
        <v>903</v>
      </c>
      <c r="D1508">
        <v>-34.351897486271682</v>
      </c>
      <c r="E1508">
        <v>-40.628239486338579</v>
      </c>
      <c r="F1508">
        <v>-54.002120377499132</v>
      </c>
    </row>
    <row r="1509" spans="1:9">
      <c r="A1509" s="24">
        <v>8046</v>
      </c>
      <c r="B1509">
        <v>41</v>
      </c>
      <c r="C1509">
        <v>3997</v>
      </c>
      <c r="D1509">
        <v>-0.12121623056747644</v>
      </c>
      <c r="E1509">
        <v>-0.27633386743893523</v>
      </c>
      <c r="F1509">
        <v>-0.69547801402630072</v>
      </c>
    </row>
    <row r="1510" spans="1:9">
      <c r="A1510" s="24">
        <v>8047</v>
      </c>
      <c r="B1510">
        <v>12</v>
      </c>
      <c r="C1510">
        <v>2</v>
      </c>
      <c r="D1510">
        <v>-0.40361989299480217</v>
      </c>
      <c r="E1510">
        <v>-0.47736418870592479</v>
      </c>
      <c r="F1510">
        <v>-0.63450148734780287</v>
      </c>
    </row>
    <row r="1511" spans="1:9">
      <c r="A1511" s="24">
        <v>8048</v>
      </c>
      <c r="B1511">
        <v>42</v>
      </c>
      <c r="C1511">
        <v>181</v>
      </c>
      <c r="D1511">
        <v>21.965687168195469</v>
      </c>
      <c r="E1511">
        <v>28.376546557548366</v>
      </c>
      <c r="F1511">
        <v>43.634832647173837</v>
      </c>
      <c r="I1511">
        <v>1</v>
      </c>
    </row>
    <row r="1512" spans="1:9">
      <c r="A1512" s="24">
        <v>8049</v>
      </c>
      <c r="B1512">
        <v>26</v>
      </c>
      <c r="C1512">
        <v>448</v>
      </c>
      <c r="D1512">
        <v>19.363161392454415</v>
      </c>
      <c r="E1512">
        <v>24.701594922654561</v>
      </c>
      <c r="F1512">
        <v>37.276914299580682</v>
      </c>
      <c r="I1512">
        <v>1</v>
      </c>
    </row>
    <row r="1513" spans="1:9">
      <c r="A1513" s="24">
        <v>8050</v>
      </c>
      <c r="B1513">
        <v>46</v>
      </c>
      <c r="C1513">
        <v>165</v>
      </c>
      <c r="D1513">
        <v>19.252702361791325</v>
      </c>
      <c r="E1513">
        <v>25.095113953110108</v>
      </c>
      <c r="F1513">
        <v>39.093636713721899</v>
      </c>
    </row>
    <row r="1514" spans="1:9">
      <c r="A1514" s="24">
        <v>8054</v>
      </c>
      <c r="B1514">
        <v>16</v>
      </c>
      <c r="C1514">
        <v>1380</v>
      </c>
      <c r="D1514">
        <v>15.722989629698645</v>
      </c>
      <c r="E1514">
        <v>20.386470716052653</v>
      </c>
      <c r="F1514">
        <v>31.516999209033862</v>
      </c>
      <c r="H1514">
        <v>1</v>
      </c>
      <c r="I1514">
        <v>1</v>
      </c>
    </row>
    <row r="1515" spans="1:9">
      <c r="A1515" s="24">
        <v>8059</v>
      </c>
      <c r="B1515">
        <v>14</v>
      </c>
      <c r="C1515">
        <v>1023</v>
      </c>
      <c r="D1515">
        <v>0.41152280930569007</v>
      </c>
      <c r="E1515">
        <v>0.48671102541698447</v>
      </c>
      <c r="F1515">
        <v>0.64692508747424193</v>
      </c>
    </row>
    <row r="1516" spans="1:9">
      <c r="A1516" s="24">
        <v>8064</v>
      </c>
      <c r="B1516">
        <v>18</v>
      </c>
      <c r="C1516">
        <v>973</v>
      </c>
      <c r="D1516">
        <v>16.007182328600493</v>
      </c>
      <c r="E1516">
        <v>20.569964511529435</v>
      </c>
      <c r="F1516">
        <v>31.384209842361166</v>
      </c>
      <c r="H1516">
        <v>1</v>
      </c>
      <c r="I1516">
        <v>1</v>
      </c>
    </row>
    <row r="1517" spans="1:9">
      <c r="A1517" s="24">
        <v>8066</v>
      </c>
      <c r="B1517">
        <v>86</v>
      </c>
      <c r="C1517">
        <v>706</v>
      </c>
      <c r="D1517">
        <v>100.84658935425665</v>
      </c>
      <c r="E1517">
        <v>126.44990114066198</v>
      </c>
      <c r="F1517">
        <v>185.7899109624081</v>
      </c>
      <c r="G1517">
        <v>1</v>
      </c>
      <c r="H1517">
        <v>1</v>
      </c>
      <c r="I1517">
        <v>1</v>
      </c>
    </row>
    <row r="1518" spans="1:9">
      <c r="A1518" s="24">
        <v>8067</v>
      </c>
      <c r="B1518">
        <v>6</v>
      </c>
      <c r="C1518">
        <v>0</v>
      </c>
      <c r="D1518">
        <v>0</v>
      </c>
      <c r="E1518">
        <v>0</v>
      </c>
      <c r="F1518">
        <v>0</v>
      </c>
    </row>
    <row r="1519" spans="1:9">
      <c r="A1519" s="24">
        <v>8068</v>
      </c>
      <c r="B1519">
        <v>16</v>
      </c>
      <c r="C1519">
        <v>35</v>
      </c>
      <c r="D1519">
        <v>0.9889751687091356</v>
      </c>
      <c r="E1519">
        <v>1.4180934231498126</v>
      </c>
      <c r="F1519">
        <v>2.4980295714390048</v>
      </c>
    </row>
    <row r="1520" spans="1:9">
      <c r="A1520" s="24">
        <v>8069</v>
      </c>
      <c r="B1520">
        <v>35</v>
      </c>
      <c r="C1520">
        <v>2563</v>
      </c>
      <c r="D1520">
        <v>20.726801677380287</v>
      </c>
      <c r="E1520">
        <v>26.840748944062199</v>
      </c>
      <c r="F1520">
        <v>41.419341561558326</v>
      </c>
      <c r="I1520">
        <v>1</v>
      </c>
    </row>
    <row r="1521" spans="1:9">
      <c r="A1521" s="24">
        <v>8070</v>
      </c>
      <c r="B1521">
        <v>164</v>
      </c>
      <c r="C1521">
        <v>100</v>
      </c>
      <c r="D1521">
        <v>195.94034799526406</v>
      </c>
      <c r="E1521">
        <v>251.14262069607526</v>
      </c>
      <c r="F1521">
        <v>381.69993707599997</v>
      </c>
      <c r="G1521">
        <v>1</v>
      </c>
      <c r="H1521">
        <v>1</v>
      </c>
      <c r="I1521">
        <v>1</v>
      </c>
    </row>
    <row r="1522" spans="1:9">
      <c r="A1522" s="24">
        <v>8071</v>
      </c>
      <c r="B1522">
        <v>15</v>
      </c>
      <c r="C1522">
        <v>157</v>
      </c>
      <c r="D1522">
        <v>29.333468898137127</v>
      </c>
      <c r="E1522">
        <v>37.430871195956954</v>
      </c>
      <c r="F1522">
        <v>56.50975436962382</v>
      </c>
      <c r="G1522">
        <v>1</v>
      </c>
      <c r="H1522">
        <v>1</v>
      </c>
      <c r="I1522">
        <v>1</v>
      </c>
    </row>
    <row r="1523" spans="1:9">
      <c r="A1523" s="24">
        <v>8072</v>
      </c>
      <c r="B1523">
        <v>20</v>
      </c>
      <c r="C1523">
        <v>54</v>
      </c>
      <c r="D1523">
        <v>4.7236997581816015E-2</v>
      </c>
      <c r="E1523">
        <v>5.5867541265706949E-2</v>
      </c>
      <c r="F1523">
        <v>7.42578493867566E-2</v>
      </c>
    </row>
    <row r="1524" spans="1:9">
      <c r="A1524" s="24">
        <v>8074</v>
      </c>
      <c r="B1524">
        <v>19</v>
      </c>
      <c r="C1524">
        <v>79</v>
      </c>
      <c r="D1524">
        <v>13.521521430781453</v>
      </c>
      <c r="E1524">
        <v>17.497882004404275</v>
      </c>
      <c r="F1524">
        <v>26.9744080997678</v>
      </c>
      <c r="I1524">
        <v>1</v>
      </c>
    </row>
    <row r="1525" spans="1:9">
      <c r="A1525" s="24">
        <v>8076</v>
      </c>
      <c r="B1525">
        <v>44</v>
      </c>
      <c r="C1525">
        <v>1351</v>
      </c>
      <c r="D1525">
        <v>22.562585093229167</v>
      </c>
      <c r="E1525">
        <v>30.330808642470448</v>
      </c>
      <c r="F1525">
        <v>49.313308098387274</v>
      </c>
      <c r="I1525">
        <v>1</v>
      </c>
    </row>
    <row r="1526" spans="1:9">
      <c r="A1526" s="24">
        <v>8077</v>
      </c>
      <c r="B1526">
        <v>16</v>
      </c>
      <c r="C1526">
        <v>3</v>
      </c>
      <c r="D1526">
        <v>3.765374704230295</v>
      </c>
      <c r="E1526">
        <v>5.3991781317758054</v>
      </c>
      <c r="F1526">
        <v>9.51087313040723</v>
      </c>
    </row>
    <row r="1527" spans="1:9">
      <c r="A1527" s="24">
        <v>8080</v>
      </c>
      <c r="B1527">
        <v>3</v>
      </c>
      <c r="C1527">
        <v>0</v>
      </c>
      <c r="D1527">
        <v>0</v>
      </c>
      <c r="E1527">
        <v>0</v>
      </c>
      <c r="F1527">
        <v>0</v>
      </c>
    </row>
    <row r="1528" spans="1:9">
      <c r="A1528" s="24">
        <v>8081</v>
      </c>
      <c r="B1528">
        <v>101</v>
      </c>
      <c r="C1528">
        <v>712</v>
      </c>
      <c r="D1528">
        <v>56.629379556942332</v>
      </c>
      <c r="E1528">
        <v>72.844102224609401</v>
      </c>
      <c r="F1528">
        <v>111.30567443449033</v>
      </c>
      <c r="I1528">
        <v>1</v>
      </c>
    </row>
    <row r="1529" spans="1:9">
      <c r="A1529" s="24">
        <v>8083</v>
      </c>
      <c r="B1529">
        <v>145</v>
      </c>
      <c r="C1529">
        <v>12</v>
      </c>
      <c r="D1529">
        <v>88.970569214934443</v>
      </c>
      <c r="E1529">
        <v>115.7710010271642</v>
      </c>
      <c r="F1529">
        <v>179.90566430923587</v>
      </c>
      <c r="I1529">
        <v>1</v>
      </c>
    </row>
    <row r="1530" spans="1:9">
      <c r="A1530" s="24">
        <v>8084</v>
      </c>
      <c r="B1530">
        <v>22</v>
      </c>
      <c r="C1530">
        <v>28</v>
      </c>
      <c r="D1530">
        <v>-5.3084785143503836</v>
      </c>
      <c r="E1530">
        <v>-7.5469308658860479</v>
      </c>
      <c r="F1530">
        <v>-13.162095819028419</v>
      </c>
    </row>
    <row r="1531" spans="1:9">
      <c r="A1531" s="24">
        <v>8085</v>
      </c>
      <c r="B1531">
        <v>5</v>
      </c>
      <c r="C1531">
        <v>190</v>
      </c>
      <c r="D1531">
        <v>0</v>
      </c>
      <c r="E1531">
        <v>0</v>
      </c>
      <c r="F1531">
        <v>0</v>
      </c>
    </row>
    <row r="1532" spans="1:9">
      <c r="A1532" s="24">
        <v>8086</v>
      </c>
      <c r="B1532">
        <v>74</v>
      </c>
      <c r="C1532">
        <v>6885</v>
      </c>
      <c r="D1532">
        <v>26.96011527585793</v>
      </c>
      <c r="E1532">
        <v>35.95957089795597</v>
      </c>
      <c r="F1532">
        <v>57.850701203342012</v>
      </c>
    </row>
    <row r="1533" spans="1:9">
      <c r="A1533" s="24">
        <v>8087</v>
      </c>
      <c r="B1533">
        <v>8</v>
      </c>
      <c r="C1533">
        <v>7</v>
      </c>
      <c r="D1533">
        <v>-0.21704973903811547</v>
      </c>
      <c r="E1533">
        <v>-0.25670630804636035</v>
      </c>
      <c r="F1533">
        <v>-0.34120811347103319</v>
      </c>
    </row>
    <row r="1534" spans="1:9">
      <c r="A1534" s="24">
        <v>8088</v>
      </c>
      <c r="B1534">
        <v>23</v>
      </c>
      <c r="C1534">
        <v>1264</v>
      </c>
      <c r="D1534">
        <v>5.0305796599398507</v>
      </c>
      <c r="E1534">
        <v>6.4923627088456799</v>
      </c>
      <c r="F1534">
        <v>9.9688237925026009</v>
      </c>
    </row>
    <row r="1535" spans="1:9">
      <c r="A1535" s="24">
        <v>8091</v>
      </c>
      <c r="B1535">
        <v>74</v>
      </c>
      <c r="C1535">
        <v>136</v>
      </c>
      <c r="D1535">
        <v>67.223055108013142</v>
      </c>
      <c r="E1535">
        <v>86.14660926493849</v>
      </c>
      <c r="F1535">
        <v>130.89559828638536</v>
      </c>
      <c r="H1535">
        <v>1</v>
      </c>
      <c r="I1535">
        <v>1</v>
      </c>
    </row>
    <row r="1536" spans="1:9">
      <c r="A1536" s="24">
        <v>8092</v>
      </c>
      <c r="B1536">
        <v>8</v>
      </c>
      <c r="C1536">
        <v>25</v>
      </c>
      <c r="D1536">
        <v>2.3272479501963916</v>
      </c>
      <c r="E1536">
        <v>3.3370453744759425</v>
      </c>
      <c r="F1536">
        <v>5.8783419276841276</v>
      </c>
    </row>
    <row r="1537" spans="1:9">
      <c r="A1537" s="24">
        <v>8093</v>
      </c>
      <c r="B1537">
        <v>6</v>
      </c>
      <c r="C1537">
        <v>31</v>
      </c>
      <c r="D1537">
        <v>0</v>
      </c>
      <c r="E1537">
        <v>0</v>
      </c>
      <c r="F1537">
        <v>0</v>
      </c>
    </row>
    <row r="1538" spans="1:9">
      <c r="A1538" s="24">
        <v>8096</v>
      </c>
      <c r="B1538">
        <v>9</v>
      </c>
      <c r="C1538">
        <v>79</v>
      </c>
      <c r="D1538">
        <v>-1.3289128665155092</v>
      </c>
      <c r="E1538">
        <v>-1.5717149312886083</v>
      </c>
      <c r="F1538">
        <v>-2.0890872947399091</v>
      </c>
    </row>
    <row r="1539" spans="1:9">
      <c r="A1539" s="24">
        <v>8097</v>
      </c>
      <c r="B1539">
        <v>10</v>
      </c>
      <c r="C1539">
        <v>7</v>
      </c>
      <c r="D1539">
        <v>0</v>
      </c>
      <c r="E1539">
        <v>0</v>
      </c>
      <c r="F1539">
        <v>0</v>
      </c>
    </row>
    <row r="1540" spans="1:9">
      <c r="A1540" s="24">
        <v>8099</v>
      </c>
      <c r="B1540">
        <v>18</v>
      </c>
      <c r="C1540">
        <v>42</v>
      </c>
      <c r="D1540">
        <v>11.162618110649717</v>
      </c>
      <c r="E1540">
        <v>14.438950560670822</v>
      </c>
      <c r="F1540">
        <v>22.244537467195499</v>
      </c>
      <c r="I1540">
        <v>1</v>
      </c>
    </row>
    <row r="1541" spans="1:9">
      <c r="A1541" s="24">
        <v>8101</v>
      </c>
      <c r="B1541">
        <v>3</v>
      </c>
      <c r="C1541">
        <v>138</v>
      </c>
      <c r="D1541">
        <v>0</v>
      </c>
      <c r="E1541">
        <v>0</v>
      </c>
      <c r="F1541">
        <v>0</v>
      </c>
    </row>
    <row r="1542" spans="1:9">
      <c r="A1542" s="24">
        <v>8103</v>
      </c>
      <c r="B1542">
        <v>25</v>
      </c>
      <c r="C1542">
        <v>97</v>
      </c>
      <c r="D1542">
        <v>23.038836393051515</v>
      </c>
      <c r="E1542">
        <v>30.037037788741969</v>
      </c>
      <c r="F1542">
        <v>46.807602960887934</v>
      </c>
      <c r="H1542">
        <v>1</v>
      </c>
      <c r="I1542">
        <v>1</v>
      </c>
    </row>
    <row r="1543" spans="1:9">
      <c r="A1543" s="24">
        <v>8104</v>
      </c>
      <c r="B1543">
        <v>63</v>
      </c>
      <c r="C1543">
        <v>1434</v>
      </c>
      <c r="D1543">
        <v>23.049021826831016</v>
      </c>
      <c r="E1543">
        <v>30.991910985678224</v>
      </c>
      <c r="F1543">
        <v>50.403766519739229</v>
      </c>
    </row>
    <row r="1544" spans="1:9">
      <c r="A1544" s="24">
        <v>8105</v>
      </c>
      <c r="B1544">
        <v>12</v>
      </c>
      <c r="C1544">
        <v>1358</v>
      </c>
      <c r="D1544">
        <v>-0.4431385058900843</v>
      </c>
      <c r="E1544">
        <v>-0.62635633259250856</v>
      </c>
      <c r="F1544">
        <v>-1.0849070503382938</v>
      </c>
    </row>
    <row r="1545" spans="1:9">
      <c r="A1545" s="24">
        <v>8107</v>
      </c>
      <c r="B1545">
        <v>23</v>
      </c>
      <c r="C1545">
        <v>86</v>
      </c>
      <c r="D1545">
        <v>9.4374825508062106</v>
      </c>
      <c r="E1545">
        <v>12.35223863349275</v>
      </c>
      <c r="F1545">
        <v>19.356454891816817</v>
      </c>
    </row>
    <row r="1546" spans="1:9">
      <c r="A1546" s="24">
        <v>8109</v>
      </c>
      <c r="B1546">
        <v>87</v>
      </c>
      <c r="C1546">
        <v>526</v>
      </c>
      <c r="D1546">
        <v>64.167766523319159</v>
      </c>
      <c r="E1546">
        <v>82.636167256049248</v>
      </c>
      <c r="F1546">
        <v>126.4839843422376</v>
      </c>
      <c r="I1546">
        <v>1</v>
      </c>
    </row>
    <row r="1547" spans="1:9">
      <c r="A1547" s="24">
        <v>8110</v>
      </c>
      <c r="B1547">
        <v>11</v>
      </c>
      <c r="C1547">
        <v>3552</v>
      </c>
      <c r="D1547">
        <v>5.5360550073235846</v>
      </c>
      <c r="E1547">
        <v>7.3150910706084735</v>
      </c>
      <c r="F1547">
        <v>11.617443142277068</v>
      </c>
      <c r="I1547">
        <v>1</v>
      </c>
    </row>
    <row r="1548" spans="1:9">
      <c r="A1548" s="24">
        <v>8111</v>
      </c>
      <c r="B1548">
        <v>10</v>
      </c>
      <c r="C1548">
        <v>70</v>
      </c>
      <c r="D1548">
        <v>3.6987596133597727</v>
      </c>
      <c r="E1548">
        <v>5.1649940345989132</v>
      </c>
      <c r="F1548">
        <v>8.8160671068047645</v>
      </c>
    </row>
    <row r="1549" spans="1:9">
      <c r="A1549" s="24">
        <v>8112</v>
      </c>
      <c r="B1549">
        <v>28</v>
      </c>
      <c r="C1549">
        <v>2066</v>
      </c>
      <c r="D1549">
        <v>31.504816031945225</v>
      </c>
      <c r="E1549">
        <v>39.639849288818731</v>
      </c>
      <c r="F1549">
        <v>58.55961585890438</v>
      </c>
      <c r="G1549">
        <v>1</v>
      </c>
      <c r="H1549">
        <v>1</v>
      </c>
      <c r="I1549">
        <v>1</v>
      </c>
    </row>
    <row r="1550" spans="1:9">
      <c r="A1550" s="24">
        <v>8114</v>
      </c>
      <c r="B1550">
        <v>114</v>
      </c>
      <c r="C1550">
        <v>422</v>
      </c>
      <c r="D1550">
        <v>90.254788987227982</v>
      </c>
      <c r="E1550">
        <v>114.55083621023569</v>
      </c>
      <c r="F1550">
        <v>171.5237379593014</v>
      </c>
      <c r="H1550">
        <v>1</v>
      </c>
      <c r="I1550">
        <v>1</v>
      </c>
    </row>
    <row r="1551" spans="1:9">
      <c r="A1551" s="24">
        <v>8121</v>
      </c>
      <c r="B1551">
        <v>14</v>
      </c>
      <c r="C1551">
        <v>151</v>
      </c>
      <c r="D1551">
        <v>7.6609336532132977</v>
      </c>
      <c r="E1551">
        <v>10.985027705992888</v>
      </c>
      <c r="F1551">
        <v>19.350575642397608</v>
      </c>
      <c r="I1551">
        <v>1</v>
      </c>
    </row>
    <row r="1552" spans="1:9">
      <c r="A1552" s="24">
        <v>8131</v>
      </c>
      <c r="B1552">
        <v>34</v>
      </c>
      <c r="C1552">
        <v>208</v>
      </c>
      <c r="D1552">
        <v>27.634233610502001</v>
      </c>
      <c r="E1552">
        <v>35.333551670735041</v>
      </c>
      <c r="F1552">
        <v>53.505788875011831</v>
      </c>
      <c r="H1552">
        <v>1</v>
      </c>
      <c r="I1552">
        <v>1</v>
      </c>
    </row>
    <row r="1553" spans="1:9">
      <c r="A1553" s="24">
        <v>8147</v>
      </c>
      <c r="B1553">
        <v>32</v>
      </c>
      <c r="C1553">
        <v>101</v>
      </c>
      <c r="D1553">
        <v>10.310050184889409</v>
      </c>
      <c r="E1553">
        <v>13.577553174849921</v>
      </c>
      <c r="F1553">
        <v>21.462249217616353</v>
      </c>
    </row>
    <row r="1554" spans="1:9">
      <c r="A1554" s="24">
        <v>8150</v>
      </c>
      <c r="B1554">
        <v>28</v>
      </c>
      <c r="C1554">
        <v>6971</v>
      </c>
      <c r="D1554">
        <v>16.851864033855591</v>
      </c>
      <c r="E1554">
        <v>22.247391742868139</v>
      </c>
      <c r="F1554">
        <v>35.288189704061352</v>
      </c>
      <c r="I1554">
        <v>1</v>
      </c>
    </row>
    <row r="1555" spans="1:9">
      <c r="A1555" s="24">
        <v>8155</v>
      </c>
      <c r="B1555">
        <v>73</v>
      </c>
      <c r="C1555">
        <v>754</v>
      </c>
      <c r="D1555">
        <v>61.362826202431407</v>
      </c>
      <c r="E1555">
        <v>77.287999340703706</v>
      </c>
      <c r="F1555">
        <v>114.36329107453454</v>
      </c>
      <c r="H1555">
        <v>1</v>
      </c>
      <c r="I1555">
        <v>1</v>
      </c>
    </row>
    <row r="1556" spans="1:9">
      <c r="A1556" s="24">
        <v>8163</v>
      </c>
      <c r="B1556">
        <v>42</v>
      </c>
      <c r="C1556">
        <v>1149</v>
      </c>
      <c r="D1556">
        <v>52.699211700614129</v>
      </c>
      <c r="E1556">
        <v>65.907444341476818</v>
      </c>
      <c r="F1556">
        <v>96.437635032288313</v>
      </c>
      <c r="G1556">
        <v>1</v>
      </c>
      <c r="H1556">
        <v>1</v>
      </c>
      <c r="I1556">
        <v>1</v>
      </c>
    </row>
    <row r="1557" spans="1:9">
      <c r="A1557" s="24">
        <v>8171</v>
      </c>
      <c r="B1557">
        <v>10</v>
      </c>
      <c r="C1557">
        <v>24</v>
      </c>
      <c r="D1557">
        <v>0</v>
      </c>
      <c r="E1557">
        <v>0</v>
      </c>
      <c r="F1557">
        <v>0</v>
      </c>
    </row>
    <row r="1558" spans="1:9">
      <c r="A1558" s="24">
        <v>8176</v>
      </c>
      <c r="B1558">
        <v>11</v>
      </c>
      <c r="C1558">
        <v>38</v>
      </c>
      <c r="D1558">
        <v>0.97734747691279045</v>
      </c>
      <c r="E1558">
        <v>1.2954569938054403</v>
      </c>
      <c r="F1558">
        <v>2.0662894061431039</v>
      </c>
    </row>
    <row r="1559" spans="1:9">
      <c r="A1559" s="24">
        <v>8182</v>
      </c>
      <c r="B1559">
        <v>22</v>
      </c>
      <c r="C1559">
        <v>7875</v>
      </c>
      <c r="D1559">
        <v>14.563405180313865</v>
      </c>
      <c r="E1559">
        <v>18.798406422082184</v>
      </c>
      <c r="F1559">
        <v>28.871557685980093</v>
      </c>
      <c r="I1559">
        <v>1</v>
      </c>
    </row>
    <row r="1560" spans="1:9">
      <c r="A1560" s="24">
        <v>8183</v>
      </c>
      <c r="B1560">
        <v>16</v>
      </c>
      <c r="C1560">
        <v>641</v>
      </c>
      <c r="D1560">
        <v>7.2837668026869942</v>
      </c>
      <c r="E1560">
        <v>9.9021470384776666</v>
      </c>
      <c r="F1560">
        <v>16.339558258433275</v>
      </c>
      <c r="I1560">
        <v>1</v>
      </c>
    </row>
    <row r="1561" spans="1:9">
      <c r="A1561" s="24">
        <v>8201</v>
      </c>
      <c r="B1561">
        <v>13</v>
      </c>
      <c r="C1561">
        <v>82</v>
      </c>
      <c r="D1561">
        <v>0</v>
      </c>
      <c r="E1561">
        <v>0</v>
      </c>
      <c r="F1561">
        <v>0</v>
      </c>
    </row>
    <row r="1562" spans="1:9">
      <c r="A1562" s="24">
        <v>8210</v>
      </c>
      <c r="B1562">
        <v>63</v>
      </c>
      <c r="C1562">
        <v>145</v>
      </c>
      <c r="D1562">
        <v>46.128401677987583</v>
      </c>
      <c r="E1562">
        <v>59.390382848133726</v>
      </c>
      <c r="F1562">
        <v>90.870973557097116</v>
      </c>
      <c r="I1562">
        <v>1</v>
      </c>
    </row>
    <row r="1563" spans="1:9">
      <c r="A1563" s="24">
        <v>8213</v>
      </c>
      <c r="B1563">
        <v>41</v>
      </c>
      <c r="C1563">
        <v>2898</v>
      </c>
      <c r="D1563">
        <v>31.925592141783994</v>
      </c>
      <c r="E1563">
        <v>41.393900890863293</v>
      </c>
      <c r="F1563">
        <v>63.991943056457494</v>
      </c>
      <c r="H1563">
        <v>1</v>
      </c>
      <c r="I1563">
        <v>1</v>
      </c>
    </row>
    <row r="1564" spans="1:9">
      <c r="A1564" s="24">
        <v>8215</v>
      </c>
      <c r="B1564">
        <v>24</v>
      </c>
      <c r="C1564">
        <v>823</v>
      </c>
      <c r="D1564">
        <v>8.0250167747346381</v>
      </c>
      <c r="E1564">
        <v>10.78160374534059</v>
      </c>
      <c r="F1564">
        <v>17.51536068181478</v>
      </c>
    </row>
    <row r="1565" spans="1:9">
      <c r="A1565" s="24">
        <v>8222</v>
      </c>
      <c r="B1565">
        <v>20</v>
      </c>
      <c r="C1565">
        <v>75</v>
      </c>
      <c r="D1565">
        <v>9.3426841835142724</v>
      </c>
      <c r="E1565">
        <v>12.58249752618055</v>
      </c>
      <c r="F1565">
        <v>20.507523631304529</v>
      </c>
      <c r="I1565">
        <v>1</v>
      </c>
    </row>
    <row r="1566" spans="1:9">
      <c r="A1566" s="24">
        <v>8234</v>
      </c>
      <c r="B1566">
        <v>30</v>
      </c>
      <c r="C1566">
        <v>538</v>
      </c>
      <c r="D1566">
        <v>13.114765903803342</v>
      </c>
      <c r="E1566">
        <v>17.45921771027966</v>
      </c>
      <c r="F1566">
        <v>28.014913982398959</v>
      </c>
    </row>
    <row r="1567" spans="1:9">
      <c r="A1567" s="24">
        <v>8240</v>
      </c>
      <c r="B1567">
        <v>29</v>
      </c>
      <c r="C1567">
        <v>289</v>
      </c>
      <c r="D1567">
        <v>102.36142224869698</v>
      </c>
      <c r="E1567">
        <v>122.23574451234406</v>
      </c>
      <c r="F1567">
        <v>165.36587840374094</v>
      </c>
      <c r="G1567">
        <v>1</v>
      </c>
      <c r="H1567">
        <v>1</v>
      </c>
      <c r="I1567">
        <v>1</v>
      </c>
    </row>
    <row r="1568" spans="1:9">
      <c r="A1568" s="24">
        <v>8249</v>
      </c>
      <c r="B1568">
        <v>22</v>
      </c>
      <c r="C1568">
        <v>37</v>
      </c>
      <c r="D1568">
        <v>18.867864423940091</v>
      </c>
      <c r="E1568">
        <v>24.306303632058317</v>
      </c>
      <c r="F1568">
        <v>37.221670777548148</v>
      </c>
      <c r="H1568">
        <v>1</v>
      </c>
      <c r="I1568">
        <v>1</v>
      </c>
    </row>
    <row r="1569" spans="1:9">
      <c r="A1569" s="24">
        <v>8255</v>
      </c>
      <c r="B1569">
        <v>99</v>
      </c>
      <c r="C1569">
        <v>259</v>
      </c>
      <c r="D1569">
        <v>77.245018567668865</v>
      </c>
      <c r="E1569">
        <v>100.48338275886826</v>
      </c>
      <c r="F1569">
        <v>156.08172742276082</v>
      </c>
      <c r="H1569">
        <v>1</v>
      </c>
      <c r="I1569">
        <v>1</v>
      </c>
    </row>
    <row r="1570" spans="1:9">
      <c r="A1570" s="24">
        <v>8261</v>
      </c>
      <c r="B1570">
        <v>29</v>
      </c>
      <c r="C1570">
        <v>270</v>
      </c>
      <c r="D1570">
        <v>17.896681275761765</v>
      </c>
      <c r="E1570">
        <v>23.069235185010804</v>
      </c>
      <c r="F1570">
        <v>35.359103700893897</v>
      </c>
      <c r="I1570">
        <v>1</v>
      </c>
    </row>
    <row r="1571" spans="1:9">
      <c r="A1571" s="24">
        <v>8271</v>
      </c>
      <c r="B1571">
        <v>32</v>
      </c>
      <c r="C1571">
        <v>363</v>
      </c>
      <c r="D1571">
        <v>28.809325274053126</v>
      </c>
      <c r="E1571">
        <v>36.346988851536445</v>
      </c>
      <c r="F1571">
        <v>53.923960229331456</v>
      </c>
      <c r="H1571">
        <v>1</v>
      </c>
      <c r="I1571">
        <v>1</v>
      </c>
    </row>
    <row r="1572" spans="1:9">
      <c r="A1572" s="24">
        <v>8277</v>
      </c>
      <c r="B1572">
        <v>8</v>
      </c>
      <c r="C1572">
        <v>184</v>
      </c>
      <c r="D1572">
        <v>0</v>
      </c>
      <c r="E1572">
        <v>0</v>
      </c>
      <c r="F1572">
        <v>0</v>
      </c>
    </row>
    <row r="1573" spans="1:9">
      <c r="A1573" s="24">
        <v>8279</v>
      </c>
      <c r="B1573">
        <v>152</v>
      </c>
      <c r="C1573">
        <v>29</v>
      </c>
      <c r="D1573">
        <v>64.297208672745739</v>
      </c>
      <c r="E1573">
        <v>87.766222145451906</v>
      </c>
      <c r="F1573">
        <v>145.58625672266533</v>
      </c>
    </row>
    <row r="1574" spans="1:9">
      <c r="A1574" s="24">
        <v>8287</v>
      </c>
      <c r="B1574">
        <v>3</v>
      </c>
      <c r="C1574">
        <v>128</v>
      </c>
      <c r="D1574">
        <v>5.319101515393962</v>
      </c>
      <c r="E1574">
        <v>6.6066692792295765</v>
      </c>
      <c r="F1574">
        <v>9.5606761821865121</v>
      </c>
      <c r="G1574">
        <v>1</v>
      </c>
      <c r="H1574">
        <v>1</v>
      </c>
      <c r="I1574">
        <v>1</v>
      </c>
    </row>
    <row r="1575" spans="1:9">
      <c r="A1575" s="24">
        <v>8289</v>
      </c>
      <c r="B1575">
        <v>12</v>
      </c>
      <c r="C1575">
        <v>113</v>
      </c>
      <c r="D1575">
        <v>13.909774722914033</v>
      </c>
      <c r="E1575">
        <v>17.283680912636086</v>
      </c>
      <c r="F1575">
        <v>25.027716646140377</v>
      </c>
      <c r="G1575">
        <v>1</v>
      </c>
      <c r="H1575">
        <v>1</v>
      </c>
      <c r="I1575">
        <v>1</v>
      </c>
    </row>
    <row r="1576" spans="1:9">
      <c r="A1576" s="24">
        <v>8291</v>
      </c>
      <c r="B1576">
        <v>4</v>
      </c>
      <c r="C1576">
        <v>23</v>
      </c>
      <c r="D1576">
        <v>0</v>
      </c>
      <c r="E1576">
        <v>0</v>
      </c>
      <c r="F1576">
        <v>0</v>
      </c>
    </row>
    <row r="1577" spans="1:9">
      <c r="A1577" s="24">
        <v>8299</v>
      </c>
      <c r="B1577">
        <v>328</v>
      </c>
      <c r="C1577">
        <v>2313</v>
      </c>
      <c r="D1577">
        <v>147.03885353596732</v>
      </c>
      <c r="E1577">
        <v>190.57035304823876</v>
      </c>
      <c r="F1577">
        <v>294.43573730012906</v>
      </c>
    </row>
    <row r="1578" spans="1:9">
      <c r="A1578" s="24">
        <v>8341</v>
      </c>
      <c r="B1578">
        <v>270</v>
      </c>
      <c r="C1578">
        <v>45</v>
      </c>
      <c r="D1578">
        <v>125.27518349058572</v>
      </c>
      <c r="E1578">
        <v>169.23341180888039</v>
      </c>
      <c r="F1578">
        <v>276.94237564683306</v>
      </c>
      <c r="I1578">
        <v>1</v>
      </c>
    </row>
    <row r="1579" spans="1:9">
      <c r="A1579" s="24">
        <v>8342</v>
      </c>
      <c r="B1579">
        <v>45</v>
      </c>
      <c r="C1579">
        <v>13</v>
      </c>
      <c r="D1579">
        <v>42.650906680740079</v>
      </c>
      <c r="E1579">
        <v>54.705881737671405</v>
      </c>
      <c r="F1579">
        <v>83.233585652561914</v>
      </c>
      <c r="H1579">
        <v>1</v>
      </c>
      <c r="I1579">
        <v>1</v>
      </c>
    </row>
    <row r="1580" spans="1:9">
      <c r="A1580" s="24">
        <v>8349</v>
      </c>
      <c r="B1580">
        <v>67</v>
      </c>
      <c r="C1580">
        <v>104</v>
      </c>
      <c r="D1580">
        <v>66.645795113898103</v>
      </c>
      <c r="E1580">
        <v>86.398117301406614</v>
      </c>
      <c r="F1580">
        <v>133.53566634210313</v>
      </c>
      <c r="H1580">
        <v>1</v>
      </c>
      <c r="I1580">
        <v>1</v>
      </c>
    </row>
    <row r="1581" spans="1:9">
      <c r="A1581" s="24">
        <v>8354</v>
      </c>
      <c r="B1581">
        <v>20</v>
      </c>
      <c r="C1581">
        <v>10</v>
      </c>
      <c r="D1581">
        <v>17.395598004025675</v>
      </c>
      <c r="E1581">
        <v>22.102508869458003</v>
      </c>
      <c r="F1581">
        <v>33.150867194204771</v>
      </c>
      <c r="H1581">
        <v>1</v>
      </c>
      <c r="I1581">
        <v>1</v>
      </c>
    </row>
    <row r="1582" spans="1:9">
      <c r="A1582" s="24">
        <v>8358</v>
      </c>
      <c r="B1582">
        <v>33</v>
      </c>
      <c r="C1582">
        <v>3053</v>
      </c>
      <c r="D1582">
        <v>14.485911283574751</v>
      </c>
      <c r="E1582">
        <v>19.377427133129714</v>
      </c>
      <c r="F1582">
        <v>31.296451284142272</v>
      </c>
    </row>
    <row r="1583" spans="1:9">
      <c r="A1583" s="24">
        <v>8367</v>
      </c>
      <c r="B1583">
        <v>23</v>
      </c>
      <c r="C1583">
        <v>15</v>
      </c>
      <c r="D1583">
        <v>14.081224844625222</v>
      </c>
      <c r="E1583">
        <v>18.729639771108047</v>
      </c>
      <c r="F1583">
        <v>30.017923178277215</v>
      </c>
      <c r="I1583">
        <v>1</v>
      </c>
    </row>
    <row r="1584" spans="1:9">
      <c r="A1584" s="24">
        <v>8374</v>
      </c>
      <c r="B1584">
        <v>20</v>
      </c>
      <c r="C1584">
        <v>249</v>
      </c>
      <c r="D1584">
        <v>7.7084014157708109</v>
      </c>
      <c r="E1584">
        <v>10.555652376824536</v>
      </c>
      <c r="F1584">
        <v>17.581570020228984</v>
      </c>
    </row>
    <row r="1585" spans="1:9">
      <c r="A1585" s="24">
        <v>8383</v>
      </c>
      <c r="B1585">
        <v>43</v>
      </c>
      <c r="C1585">
        <v>458</v>
      </c>
      <c r="D1585">
        <v>21.630470844828878</v>
      </c>
      <c r="E1585">
        <v>28.078749130234158</v>
      </c>
      <c r="F1585">
        <v>43.482520760495603</v>
      </c>
      <c r="I1585">
        <v>1</v>
      </c>
    </row>
    <row r="1586" spans="1:9">
      <c r="A1586" s="24">
        <v>8390</v>
      </c>
      <c r="B1586">
        <v>17</v>
      </c>
      <c r="C1586">
        <v>197</v>
      </c>
      <c r="D1586">
        <v>7.4756976720781978</v>
      </c>
      <c r="E1586">
        <v>9.9189878571573011</v>
      </c>
      <c r="F1586">
        <v>15.843258726672705</v>
      </c>
    </row>
    <row r="1587" spans="1:9">
      <c r="A1587" s="24">
        <v>8401</v>
      </c>
      <c r="B1587">
        <v>12</v>
      </c>
      <c r="C1587">
        <v>37</v>
      </c>
      <c r="D1587">
        <v>11.71053695641063</v>
      </c>
      <c r="E1587">
        <v>15.004522120554839</v>
      </c>
      <c r="F1587">
        <v>22.792774369951442</v>
      </c>
      <c r="H1587">
        <v>1</v>
      </c>
      <c r="I1587">
        <v>1</v>
      </c>
    </row>
    <row r="1588" spans="1:9">
      <c r="A1588" s="24">
        <v>8403</v>
      </c>
      <c r="B1588">
        <v>30</v>
      </c>
      <c r="C1588">
        <v>261</v>
      </c>
      <c r="D1588">
        <v>13.326573844616442</v>
      </c>
      <c r="E1588">
        <v>17.837108534100992</v>
      </c>
      <c r="F1588">
        <v>28.831591210392162</v>
      </c>
    </row>
    <row r="1589" spans="1:9">
      <c r="A1589" s="24">
        <v>8404</v>
      </c>
      <c r="B1589">
        <v>50</v>
      </c>
      <c r="C1589">
        <v>306</v>
      </c>
      <c r="D1589">
        <v>31.357900954187386</v>
      </c>
      <c r="E1589">
        <v>42.931354433167478</v>
      </c>
      <c r="F1589">
        <v>71.487139876918491</v>
      </c>
      <c r="I1589">
        <v>1</v>
      </c>
    </row>
    <row r="1590" spans="1:9">
      <c r="A1590" s="24">
        <v>8406</v>
      </c>
      <c r="B1590">
        <v>200</v>
      </c>
      <c r="C1590">
        <v>147</v>
      </c>
      <c r="D1590">
        <v>124.96688682215944</v>
      </c>
      <c r="E1590">
        <v>170.08446393590657</v>
      </c>
      <c r="F1590">
        <v>281.07395721149481</v>
      </c>
      <c r="I1590">
        <v>1</v>
      </c>
    </row>
    <row r="1591" spans="1:9">
      <c r="A1591" s="24">
        <v>8409</v>
      </c>
      <c r="B1591">
        <v>16</v>
      </c>
      <c r="C1591">
        <v>20</v>
      </c>
      <c r="D1591">
        <v>0</v>
      </c>
      <c r="E1591">
        <v>0</v>
      </c>
      <c r="F1591">
        <v>0</v>
      </c>
    </row>
    <row r="1592" spans="1:9">
      <c r="A1592" s="24">
        <v>8410</v>
      </c>
      <c r="B1592">
        <v>27</v>
      </c>
      <c r="C1592">
        <v>62</v>
      </c>
      <c r="D1592">
        <v>9.5502659820413296</v>
      </c>
      <c r="E1592">
        <v>13.219143713578783</v>
      </c>
      <c r="F1592">
        <v>22.319096554636904</v>
      </c>
    </row>
    <row r="1593" spans="1:9">
      <c r="A1593" s="24">
        <v>8411</v>
      </c>
      <c r="B1593">
        <v>18</v>
      </c>
      <c r="C1593">
        <v>332</v>
      </c>
      <c r="D1593">
        <v>-1.3372171924723344</v>
      </c>
      <c r="E1593">
        <v>-1.5815365181130723</v>
      </c>
      <c r="F1593">
        <v>-2.1021419217849999</v>
      </c>
    </row>
    <row r="1594" spans="1:9">
      <c r="A1594" s="24">
        <v>8415</v>
      </c>
      <c r="B1594">
        <v>35</v>
      </c>
      <c r="C1594">
        <v>512</v>
      </c>
      <c r="D1594">
        <v>18.898316088397607</v>
      </c>
      <c r="E1594">
        <v>24.597657107715818</v>
      </c>
      <c r="F1594">
        <v>38.239124836390992</v>
      </c>
      <c r="I1594">
        <v>1</v>
      </c>
    </row>
    <row r="1595" spans="1:9">
      <c r="A1595" s="24">
        <v>8416</v>
      </c>
      <c r="B1595">
        <v>117</v>
      </c>
      <c r="C1595">
        <v>13</v>
      </c>
      <c r="D1595">
        <v>92.94456221547776</v>
      </c>
      <c r="E1595">
        <v>121.11732962355548</v>
      </c>
      <c r="F1595">
        <v>188.6068952253604</v>
      </c>
      <c r="H1595">
        <v>1</v>
      </c>
      <c r="I1595">
        <v>1</v>
      </c>
    </row>
    <row r="1596" spans="1:9">
      <c r="A1596" s="24">
        <v>8418</v>
      </c>
      <c r="B1596">
        <v>16</v>
      </c>
      <c r="C1596">
        <v>13</v>
      </c>
      <c r="D1596">
        <v>-0.64468465940329678</v>
      </c>
      <c r="E1596">
        <v>-0.76247324462566424</v>
      </c>
      <c r="F1596">
        <v>-1.0134618792611674</v>
      </c>
    </row>
    <row r="1597" spans="1:9">
      <c r="A1597" s="24">
        <v>8420</v>
      </c>
      <c r="B1597">
        <v>28</v>
      </c>
      <c r="C1597">
        <v>37</v>
      </c>
      <c r="D1597">
        <v>14.568566413304918</v>
      </c>
      <c r="E1597">
        <v>18.591931644626076</v>
      </c>
      <c r="F1597">
        <v>28.072455054221514</v>
      </c>
      <c r="I1597">
        <v>1</v>
      </c>
    </row>
    <row r="1598" spans="1:9">
      <c r="A1598" s="24">
        <v>8421</v>
      </c>
      <c r="B1598">
        <v>16</v>
      </c>
      <c r="C1598">
        <v>17</v>
      </c>
      <c r="D1598">
        <v>7.6710710618505509</v>
      </c>
      <c r="E1598">
        <v>10.191496840638102</v>
      </c>
      <c r="F1598">
        <v>16.307747102895689</v>
      </c>
      <c r="I1598">
        <v>1</v>
      </c>
    </row>
    <row r="1599" spans="1:9">
      <c r="A1599" s="24">
        <v>8422</v>
      </c>
      <c r="B1599">
        <v>160</v>
      </c>
      <c r="C1599">
        <v>98</v>
      </c>
      <c r="D1599">
        <v>132.53113115569647</v>
      </c>
      <c r="E1599">
        <v>171.74379068715257</v>
      </c>
      <c r="F1599">
        <v>265.29472567188174</v>
      </c>
      <c r="H1599">
        <v>1</v>
      </c>
      <c r="I1599">
        <v>1</v>
      </c>
    </row>
    <row r="1600" spans="1:9">
      <c r="A1600" s="24">
        <v>8423</v>
      </c>
      <c r="B1600">
        <v>23</v>
      </c>
      <c r="C1600">
        <v>1</v>
      </c>
      <c r="D1600">
        <v>10.761622924616024</v>
      </c>
      <c r="E1600">
        <v>14.803522389692882</v>
      </c>
      <c r="F1600">
        <v>24.799418361727984</v>
      </c>
      <c r="I1600">
        <v>1</v>
      </c>
    </row>
    <row r="1601" spans="1:9">
      <c r="A1601" s="24">
        <v>8424</v>
      </c>
      <c r="B1601">
        <v>59</v>
      </c>
      <c r="C1601">
        <v>6</v>
      </c>
      <c r="D1601">
        <v>39.914533369917578</v>
      </c>
      <c r="E1601">
        <v>51.663800512156001</v>
      </c>
      <c r="F1601">
        <v>79.669538730455756</v>
      </c>
      <c r="I1601">
        <v>1</v>
      </c>
    </row>
    <row r="1602" spans="1:9">
      <c r="A1602" s="24">
        <v>8426</v>
      </c>
      <c r="B1602">
        <v>21</v>
      </c>
      <c r="C1602">
        <v>1</v>
      </c>
      <c r="D1602">
        <v>-5.5216227039361314</v>
      </c>
      <c r="E1602">
        <v>-7.6626484280129379</v>
      </c>
      <c r="F1602">
        <v>-12.97933436020867</v>
      </c>
    </row>
    <row r="1603" spans="1:9">
      <c r="A1603" s="24">
        <v>8427</v>
      </c>
      <c r="B1603">
        <v>40</v>
      </c>
      <c r="C1603">
        <v>4</v>
      </c>
      <c r="D1603">
        <v>7.020211754603487</v>
      </c>
      <c r="E1603">
        <v>11.314615748129224</v>
      </c>
      <c r="F1603">
        <v>22.472379237982729</v>
      </c>
    </row>
    <row r="1604" spans="1:9">
      <c r="A1604" s="24">
        <v>8429</v>
      </c>
      <c r="B1604">
        <v>15</v>
      </c>
      <c r="C1604">
        <v>154</v>
      </c>
      <c r="D1604">
        <v>10.877454015045416</v>
      </c>
      <c r="E1604">
        <v>14.628898565552984</v>
      </c>
      <c r="F1604">
        <v>23.79821528738124</v>
      </c>
      <c r="I1604">
        <v>1</v>
      </c>
    </row>
    <row r="1605" spans="1:9">
      <c r="A1605" s="24">
        <v>8431</v>
      </c>
      <c r="B1605">
        <v>50</v>
      </c>
      <c r="C1605">
        <v>189</v>
      </c>
      <c r="D1605">
        <v>-1.9323710901424795</v>
      </c>
      <c r="E1605">
        <v>-2.2854293698961152</v>
      </c>
      <c r="F1605">
        <v>-3.0377400918122937</v>
      </c>
    </row>
    <row r="1606" spans="1:9">
      <c r="A1606" s="24">
        <v>8432</v>
      </c>
      <c r="B1606">
        <v>71</v>
      </c>
      <c r="C1606">
        <v>134</v>
      </c>
      <c r="D1606">
        <v>28.673347666683579</v>
      </c>
      <c r="E1606">
        <v>38.796112609472388</v>
      </c>
      <c r="F1606">
        <v>63.620822538909287</v>
      </c>
    </row>
    <row r="1607" spans="1:9">
      <c r="A1607" s="24">
        <v>8433</v>
      </c>
      <c r="B1607">
        <v>59</v>
      </c>
      <c r="C1607">
        <v>36</v>
      </c>
      <c r="D1607">
        <v>48.941785286293779</v>
      </c>
      <c r="E1607">
        <v>62.30006767073256</v>
      </c>
      <c r="F1607">
        <v>93.707483933484369</v>
      </c>
      <c r="H1607">
        <v>1</v>
      </c>
      <c r="I1607">
        <v>1</v>
      </c>
    </row>
    <row r="1608" spans="1:9">
      <c r="A1608" s="24">
        <v>8435</v>
      </c>
      <c r="B1608">
        <v>50</v>
      </c>
      <c r="C1608">
        <v>15</v>
      </c>
      <c r="D1608">
        <v>48.369528756482595</v>
      </c>
      <c r="E1608">
        <v>62.490524227032807</v>
      </c>
      <c r="F1608">
        <v>96.101118914097128</v>
      </c>
      <c r="H1608">
        <v>1</v>
      </c>
      <c r="I1608">
        <v>1</v>
      </c>
    </row>
    <row r="1609" spans="1:9">
      <c r="A1609" s="24">
        <v>8436</v>
      </c>
      <c r="B1609">
        <v>421</v>
      </c>
      <c r="C1609">
        <v>1691</v>
      </c>
      <c r="D1609">
        <v>184.00755583984397</v>
      </c>
      <c r="E1609">
        <v>247.02392821196577</v>
      </c>
      <c r="F1609">
        <v>400.89217560632562</v>
      </c>
    </row>
    <row r="1610" spans="1:9">
      <c r="A1610" s="24">
        <v>8437</v>
      </c>
      <c r="B1610">
        <v>290</v>
      </c>
      <c r="C1610">
        <v>90</v>
      </c>
      <c r="D1610">
        <v>135.89794599527727</v>
      </c>
      <c r="E1610">
        <v>180.23548291408713</v>
      </c>
      <c r="F1610">
        <v>287.71205747312598</v>
      </c>
    </row>
    <row r="1611" spans="1:9">
      <c r="A1611" s="24">
        <v>8440</v>
      </c>
      <c r="B1611">
        <v>14</v>
      </c>
      <c r="C1611">
        <v>59</v>
      </c>
      <c r="D1611">
        <v>6.8643349272568006</v>
      </c>
      <c r="E1611">
        <v>9.1396854278919761</v>
      </c>
      <c r="F1611">
        <v>14.668625132813901</v>
      </c>
      <c r="I1611">
        <v>1</v>
      </c>
    </row>
    <row r="1612" spans="1:9">
      <c r="A1612" s="24">
        <v>8442</v>
      </c>
      <c r="B1612">
        <v>58</v>
      </c>
      <c r="C1612">
        <v>49</v>
      </c>
      <c r="D1612">
        <v>13.370518380293635</v>
      </c>
      <c r="E1612">
        <v>18.228737562340296</v>
      </c>
      <c r="F1612">
        <v>30.190431051995667</v>
      </c>
    </row>
    <row r="1613" spans="1:9">
      <c r="A1613" s="24">
        <v>8443</v>
      </c>
      <c r="B1613">
        <v>12</v>
      </c>
      <c r="C1613">
        <v>26</v>
      </c>
      <c r="D1613">
        <v>2.9777512562140487</v>
      </c>
      <c r="E1613">
        <v>3.9531166888259111</v>
      </c>
      <c r="F1613">
        <v>6.318893966717706</v>
      </c>
    </row>
    <row r="1614" spans="1:9">
      <c r="A1614" s="24">
        <v>8444</v>
      </c>
      <c r="B1614">
        <v>93</v>
      </c>
      <c r="C1614">
        <v>20</v>
      </c>
      <c r="D1614">
        <v>-77.004911350132303</v>
      </c>
      <c r="E1614">
        <v>-110.28230135702336</v>
      </c>
      <c r="F1614">
        <v>-193.99157454420285</v>
      </c>
    </row>
    <row r="1615" spans="1:9">
      <c r="A1615" s="24">
        <v>8446</v>
      </c>
      <c r="B1615">
        <v>132</v>
      </c>
      <c r="C1615">
        <v>109</v>
      </c>
      <c r="D1615">
        <v>86.74700592073944</v>
      </c>
      <c r="E1615">
        <v>111.23940167993936</v>
      </c>
      <c r="F1615">
        <v>169.18864223717196</v>
      </c>
      <c r="I1615">
        <v>1</v>
      </c>
    </row>
    <row r="1616" spans="1:9">
      <c r="A1616" s="24">
        <v>8450</v>
      </c>
      <c r="B1616">
        <v>42</v>
      </c>
      <c r="C1616">
        <v>44</v>
      </c>
      <c r="D1616">
        <v>45.469819602377164</v>
      </c>
      <c r="E1616">
        <v>56.707848216947056</v>
      </c>
      <c r="F1616">
        <v>82.607119847189125</v>
      </c>
      <c r="G1616">
        <v>1</v>
      </c>
      <c r="H1616">
        <v>1</v>
      </c>
      <c r="I1616">
        <v>1</v>
      </c>
    </row>
    <row r="1617" spans="1:9">
      <c r="A1617" s="24">
        <v>8454</v>
      </c>
      <c r="B1617">
        <v>266</v>
      </c>
      <c r="C1617">
        <v>93</v>
      </c>
      <c r="D1617">
        <v>111.54288102351799</v>
      </c>
      <c r="E1617">
        <v>146.78581012276109</v>
      </c>
      <c r="F1617">
        <v>231.78790267607502</v>
      </c>
    </row>
    <row r="1618" spans="1:9">
      <c r="A1618" s="24">
        <v>8455</v>
      </c>
      <c r="B1618">
        <v>37</v>
      </c>
      <c r="C1618">
        <v>111</v>
      </c>
      <c r="D1618">
        <v>5.595049145078776</v>
      </c>
      <c r="E1618">
        <v>7.8802220185119811</v>
      </c>
      <c r="F1618">
        <v>13.591183681746314</v>
      </c>
    </row>
    <row r="1619" spans="1:9">
      <c r="A1619" s="24">
        <v>8462</v>
      </c>
      <c r="B1619">
        <v>244</v>
      </c>
      <c r="C1619">
        <v>558</v>
      </c>
      <c r="D1619">
        <v>92.382840426800328</v>
      </c>
      <c r="E1619">
        <v>123.29207293697824</v>
      </c>
      <c r="F1619">
        <v>198.50461769370497</v>
      </c>
    </row>
    <row r="1620" spans="1:9">
      <c r="A1620" s="24">
        <v>8463</v>
      </c>
      <c r="B1620">
        <v>25</v>
      </c>
      <c r="C1620">
        <v>49</v>
      </c>
      <c r="D1620">
        <v>12.196305414125746</v>
      </c>
      <c r="E1620">
        <v>16.441872598397154</v>
      </c>
      <c r="F1620">
        <v>26.832793926978276</v>
      </c>
      <c r="I1620">
        <v>1</v>
      </c>
    </row>
    <row r="1621" spans="1:9">
      <c r="A1621" s="24">
        <v>8464</v>
      </c>
      <c r="B1621">
        <v>247</v>
      </c>
      <c r="C1621">
        <v>296</v>
      </c>
      <c r="D1621">
        <v>142.98277358026127</v>
      </c>
      <c r="E1621">
        <v>189.27941167756435</v>
      </c>
      <c r="F1621">
        <v>301.37344977900335</v>
      </c>
      <c r="I1621">
        <v>1</v>
      </c>
    </row>
    <row r="1622" spans="1:9">
      <c r="A1622" s="24">
        <v>8466</v>
      </c>
      <c r="B1622">
        <v>80</v>
      </c>
      <c r="C1622">
        <v>30</v>
      </c>
      <c r="D1622">
        <v>30.605224755857336</v>
      </c>
      <c r="E1622">
        <v>40.19296947072867</v>
      </c>
      <c r="F1622">
        <v>63.285870146570346</v>
      </c>
    </row>
    <row r="1623" spans="1:9">
      <c r="A1623" s="24">
        <v>8467</v>
      </c>
      <c r="B1623">
        <v>51</v>
      </c>
      <c r="C1623">
        <v>136</v>
      </c>
      <c r="D1623">
        <v>24.834493091908847</v>
      </c>
      <c r="E1623">
        <v>32.257897766653372</v>
      </c>
      <c r="F1623">
        <v>49.999227600090236</v>
      </c>
    </row>
    <row r="1624" spans="1:9">
      <c r="A1624" s="24">
        <v>8472</v>
      </c>
      <c r="B1624">
        <v>27</v>
      </c>
      <c r="C1624">
        <v>3</v>
      </c>
      <c r="D1624">
        <v>11.777464180948812</v>
      </c>
      <c r="E1624">
        <v>16.297261378524016</v>
      </c>
      <c r="F1624">
        <v>27.506270858397372</v>
      </c>
      <c r="I1624">
        <v>1</v>
      </c>
    </row>
    <row r="1625" spans="1:9">
      <c r="A1625" s="24">
        <v>8473</v>
      </c>
      <c r="B1625">
        <v>53</v>
      </c>
      <c r="C1625">
        <v>71</v>
      </c>
      <c r="D1625">
        <v>56.273602425470976</v>
      </c>
      <c r="E1625">
        <v>73.76587568243022</v>
      </c>
      <c r="F1625">
        <v>115.84439878166327</v>
      </c>
      <c r="G1625">
        <v>1</v>
      </c>
      <c r="H1625">
        <v>1</v>
      </c>
      <c r="I1625">
        <v>1</v>
      </c>
    </row>
    <row r="1626" spans="1:9">
      <c r="A1626" s="24">
        <v>8476</v>
      </c>
      <c r="B1626">
        <v>13</v>
      </c>
      <c r="C1626">
        <v>12</v>
      </c>
      <c r="D1626">
        <v>-137.76327068255185</v>
      </c>
      <c r="E1626">
        <v>-162.93362414547286</v>
      </c>
      <c r="F1626">
        <v>-216.56762133650031</v>
      </c>
    </row>
    <row r="1627" spans="1:9">
      <c r="A1627" s="24">
        <v>8477</v>
      </c>
      <c r="B1627">
        <v>54</v>
      </c>
      <c r="C1627">
        <v>23</v>
      </c>
      <c r="D1627">
        <v>32.182617056839916</v>
      </c>
      <c r="E1627">
        <v>42.232460538858902</v>
      </c>
      <c r="F1627">
        <v>66.425907424413325</v>
      </c>
      <c r="I1627">
        <v>1</v>
      </c>
    </row>
    <row r="1628" spans="1:9">
      <c r="A1628" s="24">
        <v>8478</v>
      </c>
      <c r="B1628">
        <v>50</v>
      </c>
      <c r="C1628">
        <v>99</v>
      </c>
      <c r="D1628">
        <v>22.885984258040871</v>
      </c>
      <c r="E1628">
        <v>30.282266706726002</v>
      </c>
      <c r="F1628">
        <v>48.184976275876771</v>
      </c>
    </row>
    <row r="1629" spans="1:9">
      <c r="A1629" s="24">
        <v>8480</v>
      </c>
      <c r="B1629">
        <v>122</v>
      </c>
      <c r="C1629">
        <v>28</v>
      </c>
      <c r="D1629">
        <v>60.603618956526361</v>
      </c>
      <c r="E1629">
        <v>82.243401947010639</v>
      </c>
      <c r="F1629">
        <v>135.39634221214038</v>
      </c>
      <c r="I1629">
        <v>1</v>
      </c>
    </row>
    <row r="1630" spans="1:9">
      <c r="A1630" s="24">
        <v>8481</v>
      </c>
      <c r="B1630">
        <v>62</v>
      </c>
      <c r="C1630">
        <v>35</v>
      </c>
      <c r="D1630">
        <v>33.345178559938539</v>
      </c>
      <c r="E1630">
        <v>43.988525457729935</v>
      </c>
      <c r="F1630">
        <v>69.700599743389773</v>
      </c>
      <c r="I1630">
        <v>1</v>
      </c>
    </row>
    <row r="1631" spans="1:9">
      <c r="A1631" s="24">
        <v>8482</v>
      </c>
      <c r="B1631">
        <v>142</v>
      </c>
      <c r="C1631">
        <v>148</v>
      </c>
      <c r="D1631">
        <v>54.584737487056572</v>
      </c>
      <c r="E1631">
        <v>74.212620860784114</v>
      </c>
      <c r="F1631">
        <v>122.4706190314253</v>
      </c>
    </row>
    <row r="1632" spans="1:9">
      <c r="A1632" s="24">
        <v>8488</v>
      </c>
      <c r="B1632">
        <v>23</v>
      </c>
      <c r="C1632">
        <v>238</v>
      </c>
      <c r="D1632">
        <v>-3.9639682494858728</v>
      </c>
      <c r="E1632">
        <v>-4.6882141349168762</v>
      </c>
      <c r="F1632">
        <v>-6.2314662724779097</v>
      </c>
    </row>
    <row r="1633" spans="1:9">
      <c r="A1633" s="24">
        <v>8489</v>
      </c>
      <c r="B1633">
        <v>134</v>
      </c>
      <c r="C1633">
        <v>574</v>
      </c>
      <c r="D1633">
        <v>118.56502047544267</v>
      </c>
      <c r="E1633">
        <v>154.47252523586491</v>
      </c>
      <c r="F1633">
        <v>240.47859896812395</v>
      </c>
      <c r="G1633">
        <v>1</v>
      </c>
      <c r="H1633">
        <v>1</v>
      </c>
      <c r="I1633">
        <v>1</v>
      </c>
    </row>
    <row r="1634" spans="1:9">
      <c r="A1634" s="24">
        <v>8497</v>
      </c>
      <c r="B1634">
        <v>50</v>
      </c>
      <c r="C1634">
        <v>24</v>
      </c>
      <c r="D1634">
        <v>48.641207206029776</v>
      </c>
      <c r="E1634">
        <v>62.837739966383282</v>
      </c>
      <c r="F1634">
        <v>96.626552398527323</v>
      </c>
      <c r="H1634">
        <v>1</v>
      </c>
      <c r="I1634">
        <v>1</v>
      </c>
    </row>
    <row r="1635" spans="1:9">
      <c r="A1635" s="24">
        <v>8499</v>
      </c>
      <c r="B1635">
        <v>114</v>
      </c>
      <c r="C1635">
        <v>61</v>
      </c>
      <c r="D1635">
        <v>55.556487272978039</v>
      </c>
      <c r="E1635">
        <v>74.30278861018472</v>
      </c>
      <c r="F1635">
        <v>119.97646015916699</v>
      </c>
      <c r="I1635">
        <v>1</v>
      </c>
    </row>
    <row r="1636" spans="1:9">
      <c r="A1636" s="24">
        <v>8905</v>
      </c>
      <c r="B1636">
        <v>16</v>
      </c>
      <c r="C1636">
        <v>149</v>
      </c>
      <c r="D1636">
        <v>11.044639289597075</v>
      </c>
      <c r="E1636">
        <v>14.429090623892925</v>
      </c>
      <c r="F1636">
        <v>22.551478307149324</v>
      </c>
      <c r="I1636">
        <v>1</v>
      </c>
    </row>
    <row r="1637" spans="1:9">
      <c r="A1637" s="24">
        <v>8906</v>
      </c>
      <c r="B1637">
        <v>17</v>
      </c>
      <c r="C1637">
        <v>2</v>
      </c>
      <c r="D1637">
        <v>0</v>
      </c>
      <c r="E1637">
        <v>0</v>
      </c>
      <c r="F1637">
        <v>0</v>
      </c>
    </row>
    <row r="1638" spans="1:9">
      <c r="A1638" s="24">
        <v>8908</v>
      </c>
      <c r="B1638">
        <v>44</v>
      </c>
      <c r="C1638">
        <v>4</v>
      </c>
      <c r="D1638">
        <v>24.078075623542325</v>
      </c>
      <c r="E1638">
        <v>31.689743583063997</v>
      </c>
      <c r="F1638">
        <v>50.049793659393181</v>
      </c>
      <c r="I1638">
        <v>1</v>
      </c>
    </row>
    <row r="1639" spans="1:9">
      <c r="A1639" s="24">
        <v>8913</v>
      </c>
      <c r="B1639">
        <v>16</v>
      </c>
      <c r="C1639">
        <v>48</v>
      </c>
      <c r="D1639">
        <v>5.0666414459617659</v>
      </c>
      <c r="E1639">
        <v>7.1340529384873177</v>
      </c>
      <c r="F1639">
        <v>12.300219075732389</v>
      </c>
    </row>
    <row r="1640" spans="1:9">
      <c r="A1640" s="24">
        <v>8916</v>
      </c>
      <c r="B1640">
        <v>47</v>
      </c>
      <c r="C1640">
        <v>410</v>
      </c>
      <c r="D1640">
        <v>17.032949642531193</v>
      </c>
      <c r="E1640">
        <v>24.062905459175543</v>
      </c>
      <c r="F1640">
        <v>41.653563372815519</v>
      </c>
    </row>
    <row r="1641" spans="1:9">
      <c r="A1641" s="24">
        <v>8917</v>
      </c>
      <c r="B1641">
        <v>49</v>
      </c>
      <c r="C1641">
        <v>0</v>
      </c>
      <c r="D1641">
        <v>29.824911851492004</v>
      </c>
      <c r="E1641">
        <v>39.714081837482681</v>
      </c>
      <c r="F1641">
        <v>63.745154915247355</v>
      </c>
      <c r="I1641">
        <v>1</v>
      </c>
    </row>
    <row r="1642" spans="1:9">
      <c r="A1642" s="24">
        <v>8921</v>
      </c>
      <c r="B1642">
        <v>14</v>
      </c>
      <c r="C1642">
        <v>0</v>
      </c>
      <c r="D1642">
        <v>5.332135263040648</v>
      </c>
      <c r="E1642">
        <v>7.2298630120598473</v>
      </c>
      <c r="F1642">
        <v>11.889054694876418</v>
      </c>
    </row>
    <row r="1643" spans="1:9">
      <c r="A1643" s="24">
        <v>8923</v>
      </c>
      <c r="B1643">
        <v>15</v>
      </c>
      <c r="C1643">
        <v>1</v>
      </c>
      <c r="D1643">
        <v>8.6029283416417002</v>
      </c>
      <c r="E1643">
        <v>11.092333899394259</v>
      </c>
      <c r="F1643">
        <v>17.00835124130429</v>
      </c>
      <c r="I1643">
        <v>1</v>
      </c>
    </row>
    <row r="1644" spans="1:9">
      <c r="A1644" s="24">
        <v>8924</v>
      </c>
      <c r="B1644">
        <v>46</v>
      </c>
      <c r="C1644">
        <v>3521</v>
      </c>
      <c r="D1644">
        <v>7.2258979512550683</v>
      </c>
      <c r="E1644">
        <v>9.4489102178127684</v>
      </c>
      <c r="F1644">
        <v>14.787423287467151</v>
      </c>
    </row>
    <row r="1645" spans="1:9">
      <c r="A1645" s="24">
        <v>8926</v>
      </c>
      <c r="B1645">
        <v>27</v>
      </c>
      <c r="C1645">
        <v>640</v>
      </c>
      <c r="D1645">
        <v>10.52006761654108</v>
      </c>
      <c r="E1645">
        <v>13.79872573268322</v>
      </c>
      <c r="F1645">
        <v>21.689054082099247</v>
      </c>
    </row>
    <row r="1646" spans="1:9">
      <c r="A1646" s="24">
        <v>8927</v>
      </c>
      <c r="B1646">
        <v>17</v>
      </c>
      <c r="C1646">
        <v>5</v>
      </c>
      <c r="D1646">
        <v>5.1268416443763227</v>
      </c>
      <c r="E1646">
        <v>7.2475373066098046</v>
      </c>
      <c r="F1646">
        <v>12.555422854482901</v>
      </c>
    </row>
    <row r="1647" spans="1:9">
      <c r="A1647" s="24">
        <v>8928</v>
      </c>
      <c r="B1647">
        <v>33</v>
      </c>
      <c r="C1647">
        <v>295</v>
      </c>
      <c r="D1647">
        <v>20.111392020893184</v>
      </c>
      <c r="E1647">
        <v>26.229337567126301</v>
      </c>
      <c r="F1647">
        <v>40.894045723240922</v>
      </c>
      <c r="I1647">
        <v>1</v>
      </c>
    </row>
    <row r="1648" spans="1:9">
      <c r="A1648" s="24">
        <v>8929</v>
      </c>
      <c r="B1648">
        <v>29</v>
      </c>
      <c r="C1648">
        <v>36</v>
      </c>
      <c r="D1648">
        <v>21.39817850993747</v>
      </c>
      <c r="E1648">
        <v>28.569658495299656</v>
      </c>
      <c r="F1648">
        <v>46.024691691776255</v>
      </c>
      <c r="I1648">
        <v>1</v>
      </c>
    </row>
    <row r="1649" spans="1:9">
      <c r="A1649" s="24">
        <v>8930</v>
      </c>
      <c r="B1649">
        <v>12</v>
      </c>
      <c r="C1649">
        <v>60</v>
      </c>
      <c r="D1649">
        <v>7.6420144227574642</v>
      </c>
      <c r="E1649">
        <v>10.023378111670576</v>
      </c>
      <c r="F1649">
        <v>15.754174440619881</v>
      </c>
      <c r="I1649">
        <v>1</v>
      </c>
    </row>
    <row r="1650" spans="1:9">
      <c r="A1650" s="24">
        <v>8931</v>
      </c>
      <c r="B1650">
        <v>27</v>
      </c>
      <c r="C1650">
        <v>93</v>
      </c>
      <c r="D1650">
        <v>15.526251078808794</v>
      </c>
      <c r="E1650">
        <v>20.413399829692203</v>
      </c>
      <c r="F1650">
        <v>32.193537917095448</v>
      </c>
      <c r="I1650">
        <v>1</v>
      </c>
    </row>
    <row r="1651" spans="1:9">
      <c r="A1651" s="24">
        <v>8932</v>
      </c>
      <c r="B1651">
        <v>13</v>
      </c>
      <c r="C1651">
        <v>388</v>
      </c>
      <c r="D1651">
        <v>4.0240729488996649</v>
      </c>
      <c r="E1651">
        <v>5.6088091601656576</v>
      </c>
      <c r="F1651">
        <v>9.5517520457585938</v>
      </c>
    </row>
    <row r="1652" spans="1:9">
      <c r="A1652" s="24">
        <v>8933</v>
      </c>
      <c r="B1652">
        <v>5</v>
      </c>
      <c r="C1652">
        <v>200</v>
      </c>
      <c r="D1652">
        <v>-10.120057483769706</v>
      </c>
      <c r="E1652">
        <v>-11.969065732989684</v>
      </c>
      <c r="F1652">
        <v>-15.909006560238684</v>
      </c>
    </row>
    <row r="1653" spans="1:9">
      <c r="A1653" s="24">
        <v>8934</v>
      </c>
      <c r="B1653">
        <v>40</v>
      </c>
      <c r="C1653">
        <v>5</v>
      </c>
      <c r="D1653">
        <v>20.912459822025735</v>
      </c>
      <c r="E1653">
        <v>28.980862421179303</v>
      </c>
      <c r="F1653">
        <v>49.003955308457904</v>
      </c>
      <c r="I1653">
        <v>1</v>
      </c>
    </row>
    <row r="1654" spans="1:9">
      <c r="A1654" s="24">
        <v>8935</v>
      </c>
      <c r="B1654">
        <v>8</v>
      </c>
      <c r="C1654">
        <v>33</v>
      </c>
      <c r="D1654">
        <v>4.0653192041405317</v>
      </c>
      <c r="E1654">
        <v>5.8292691351605068</v>
      </c>
      <c r="F1654">
        <v>10.268496025574803</v>
      </c>
      <c r="I1654">
        <v>1</v>
      </c>
    </row>
    <row r="1655" spans="1:9">
      <c r="A1655" s="24">
        <v>8936</v>
      </c>
      <c r="B1655">
        <v>20</v>
      </c>
      <c r="C1655">
        <v>282</v>
      </c>
      <c r="D1655">
        <v>10.853414991516811</v>
      </c>
      <c r="E1655">
        <v>14.805430425650794</v>
      </c>
      <c r="F1655">
        <v>24.53872157534186</v>
      </c>
      <c r="I1655">
        <v>1</v>
      </c>
    </row>
    <row r="1656" spans="1:9">
      <c r="A1656" s="24">
        <v>8937</v>
      </c>
      <c r="B1656">
        <v>15</v>
      </c>
      <c r="C1656">
        <v>55</v>
      </c>
      <c r="D1656">
        <v>1.4886874448708436</v>
      </c>
      <c r="E1656">
        <v>2.0862771811208143</v>
      </c>
      <c r="F1656">
        <v>3.576626456222364</v>
      </c>
    </row>
    <row r="1657" spans="1:9">
      <c r="A1657" s="24">
        <v>8938</v>
      </c>
      <c r="B1657">
        <v>42</v>
      </c>
      <c r="C1657">
        <v>426</v>
      </c>
      <c r="D1657">
        <v>106.58595692311927</v>
      </c>
      <c r="E1657">
        <v>129.4554858944511</v>
      </c>
      <c r="F1657">
        <v>180.44959735435026</v>
      </c>
      <c r="G1657">
        <v>1</v>
      </c>
      <c r="H1657">
        <v>1</v>
      </c>
      <c r="I1657">
        <v>1</v>
      </c>
    </row>
    <row r="1658" spans="1:9">
      <c r="A1658" s="24">
        <v>8940</v>
      </c>
      <c r="B1658">
        <v>15</v>
      </c>
      <c r="C1658">
        <v>52</v>
      </c>
      <c r="D1658">
        <v>0</v>
      </c>
      <c r="E1658">
        <v>0</v>
      </c>
      <c r="F1658">
        <v>0</v>
      </c>
    </row>
    <row r="1659" spans="1:9">
      <c r="A1659" s="24">
        <v>8941</v>
      </c>
      <c r="B1659">
        <v>50</v>
      </c>
      <c r="C1659">
        <v>1</v>
      </c>
      <c r="D1659">
        <v>25.253395216774333</v>
      </c>
      <c r="E1659">
        <v>32.76813616652575</v>
      </c>
      <c r="F1659">
        <v>50.713951771372578</v>
      </c>
      <c r="I1659">
        <v>1</v>
      </c>
    </row>
    <row r="1660" spans="1:9">
      <c r="A1660" s="24">
        <v>8942</v>
      </c>
      <c r="B1660">
        <v>71</v>
      </c>
      <c r="C1660">
        <v>442</v>
      </c>
      <c r="D1660">
        <v>-71.550191776900746</v>
      </c>
      <c r="E1660">
        <v>-79.615375946309342</v>
      </c>
      <c r="F1660">
        <v>-93.463893172526966</v>
      </c>
    </row>
    <row r="1661" spans="1:9">
      <c r="A1661" s="24">
        <v>8996</v>
      </c>
      <c r="B1661">
        <v>44</v>
      </c>
      <c r="C1661">
        <v>266</v>
      </c>
      <c r="D1661">
        <v>28.694405022457332</v>
      </c>
      <c r="E1661">
        <v>36.972686199250987</v>
      </c>
      <c r="F1661">
        <v>56.635344771532509</v>
      </c>
      <c r="I1661">
        <v>1</v>
      </c>
    </row>
    <row r="1662" spans="1:9">
      <c r="A1662" s="24">
        <v>9103</v>
      </c>
      <c r="B1662">
        <v>1</v>
      </c>
      <c r="C1662">
        <v>103</v>
      </c>
      <c r="D1662">
        <v>0</v>
      </c>
      <c r="E1662">
        <v>0</v>
      </c>
      <c r="F1662">
        <v>0</v>
      </c>
    </row>
    <row r="1663" spans="1:9">
      <c r="A1663" s="24">
        <v>9105</v>
      </c>
      <c r="B1663">
        <v>2</v>
      </c>
      <c r="C1663">
        <v>252</v>
      </c>
      <c r="D1663">
        <v>36.799054927196245</v>
      </c>
      <c r="E1663">
        <v>43.522510424658435</v>
      </c>
      <c r="F1663">
        <v>57.849118662246411</v>
      </c>
      <c r="G1663">
        <v>1</v>
      </c>
      <c r="H1663">
        <v>1</v>
      </c>
      <c r="I1663">
        <v>1</v>
      </c>
    </row>
    <row r="1664" spans="1:9">
      <c r="A1664" s="24">
        <v>9136</v>
      </c>
      <c r="B1664">
        <v>7</v>
      </c>
      <c r="C1664">
        <v>113</v>
      </c>
      <c r="D1664">
        <v>190.56516633863967</v>
      </c>
      <c r="E1664">
        <v>225.38281091617515</v>
      </c>
      <c r="F1664">
        <v>299.57364237273976</v>
      </c>
      <c r="G1664">
        <v>1</v>
      </c>
      <c r="H1664">
        <v>1</v>
      </c>
      <c r="I1664">
        <v>1</v>
      </c>
    </row>
    <row r="1665" spans="1:9">
      <c r="A1665" s="24">
        <v>9802</v>
      </c>
      <c r="B1665">
        <v>89</v>
      </c>
      <c r="C1665">
        <v>2889</v>
      </c>
      <c r="D1665">
        <v>47.502635763140653</v>
      </c>
      <c r="E1665">
        <v>60.052787256274044</v>
      </c>
      <c r="F1665">
        <v>89.374885739132736</v>
      </c>
      <c r="I1665">
        <v>1</v>
      </c>
    </row>
    <row r="1666" spans="1:9">
      <c r="A1666" s="24">
        <v>9902</v>
      </c>
      <c r="B1666">
        <v>10</v>
      </c>
      <c r="C1666">
        <v>160</v>
      </c>
      <c r="D1666">
        <v>1.6228741953073509</v>
      </c>
      <c r="E1666">
        <v>2.1857816120355045</v>
      </c>
      <c r="F1666">
        <v>3.56277729671225</v>
      </c>
    </row>
    <row r="1667" spans="1:9">
      <c r="A1667" s="24">
        <v>9904</v>
      </c>
      <c r="B1667">
        <v>39</v>
      </c>
      <c r="C1667">
        <v>8295</v>
      </c>
      <c r="D1667">
        <v>32.458496052506177</v>
      </c>
      <c r="E1667">
        <v>42.454581608931065</v>
      </c>
      <c r="F1667">
        <v>66.464063379513519</v>
      </c>
      <c r="H1667">
        <v>1</v>
      </c>
      <c r="I1667">
        <v>1</v>
      </c>
    </row>
    <row r="1668" spans="1:9">
      <c r="A1668" s="24">
        <v>9905</v>
      </c>
      <c r="B1668">
        <v>25</v>
      </c>
      <c r="C1668">
        <v>73</v>
      </c>
      <c r="D1668">
        <v>13.412059462229397</v>
      </c>
      <c r="E1668">
        <v>17.608917354259791</v>
      </c>
      <c r="F1668">
        <v>27.715558121004271</v>
      </c>
      <c r="I1668">
        <v>1</v>
      </c>
    </row>
    <row r="1669" spans="1:9">
      <c r="A1669" s="24">
        <v>9906</v>
      </c>
      <c r="B1669">
        <v>18</v>
      </c>
      <c r="C1669">
        <v>248</v>
      </c>
      <c r="D1669">
        <v>-3.1808089650599829</v>
      </c>
      <c r="E1669">
        <v>-4.3724578641237706</v>
      </c>
      <c r="F1669">
        <v>-7.3185106854814634</v>
      </c>
    </row>
    <row r="1670" spans="1:9">
      <c r="A1670" s="24">
        <v>9907</v>
      </c>
      <c r="B1670">
        <v>13</v>
      </c>
      <c r="C1670">
        <v>697</v>
      </c>
      <c r="D1670">
        <v>11.562568808614731</v>
      </c>
      <c r="E1670">
        <v>15.008521808600744</v>
      </c>
      <c r="F1670">
        <v>23.239882893481521</v>
      </c>
      <c r="H1670">
        <v>1</v>
      </c>
      <c r="I1670">
        <v>1</v>
      </c>
    </row>
    <row r="1671" spans="1:9">
      <c r="A1671" s="24">
        <v>9908</v>
      </c>
      <c r="B1671">
        <v>29</v>
      </c>
      <c r="C1671">
        <v>105</v>
      </c>
      <c r="D1671">
        <v>16.484417395890794</v>
      </c>
      <c r="E1671">
        <v>21.921131570093699</v>
      </c>
      <c r="F1671">
        <v>35.121878229256779</v>
      </c>
      <c r="I1671">
        <v>1</v>
      </c>
    </row>
    <row r="1672" spans="1:9">
      <c r="A1672" s="24">
        <v>9910</v>
      </c>
      <c r="B1672">
        <v>209</v>
      </c>
      <c r="C1672">
        <v>819</v>
      </c>
      <c r="D1672">
        <v>133.57405599942251</v>
      </c>
      <c r="E1672">
        <v>178.155602708331</v>
      </c>
      <c r="F1672">
        <v>286.59768764118576</v>
      </c>
      <c r="I1672">
        <v>1</v>
      </c>
    </row>
    <row r="1673" spans="1:9">
      <c r="A1673" s="24">
        <v>9911</v>
      </c>
      <c r="B1673">
        <v>47</v>
      </c>
      <c r="C1673">
        <v>171</v>
      </c>
      <c r="D1673">
        <v>31.778970664342665</v>
      </c>
      <c r="E1673">
        <v>40.925266898020112</v>
      </c>
      <c r="F1673">
        <v>62.640411048773089</v>
      </c>
      <c r="I1673">
        <v>1</v>
      </c>
    </row>
    <row r="1674" spans="1:9">
      <c r="A1674" s="24">
        <v>9912</v>
      </c>
      <c r="B1674">
        <v>9</v>
      </c>
      <c r="C1674">
        <v>9</v>
      </c>
      <c r="D1674">
        <v>39.803096749003224</v>
      </c>
      <c r="E1674">
        <v>47.805042923872755</v>
      </c>
      <c r="F1674">
        <v>65.342145290957347</v>
      </c>
      <c r="G1674">
        <v>1</v>
      </c>
      <c r="H1674">
        <v>1</v>
      </c>
      <c r="I1674">
        <v>1</v>
      </c>
    </row>
    <row r="1675" spans="1:9">
      <c r="A1675" s="24">
        <v>9914</v>
      </c>
      <c r="B1675">
        <v>200</v>
      </c>
      <c r="C1675">
        <v>1013</v>
      </c>
      <c r="D1675">
        <v>88.924962904755688</v>
      </c>
      <c r="E1675">
        <v>120.04748481139944</v>
      </c>
      <c r="F1675">
        <v>196.27767982287409</v>
      </c>
    </row>
    <row r="1676" spans="1:9">
      <c r="A1676" s="24">
        <v>9917</v>
      </c>
      <c r="B1676">
        <v>88</v>
      </c>
      <c r="C1676">
        <v>111</v>
      </c>
      <c r="D1676">
        <v>66.094455507423191</v>
      </c>
      <c r="E1676">
        <v>85.703494494120221</v>
      </c>
      <c r="F1676">
        <v>132.50737446334742</v>
      </c>
      <c r="I1676">
        <v>1</v>
      </c>
    </row>
    <row r="1677" spans="1:9">
      <c r="A1677" s="24">
        <v>9918</v>
      </c>
      <c r="B1677">
        <v>34</v>
      </c>
      <c r="C1677">
        <v>2</v>
      </c>
      <c r="D1677">
        <v>20.129280925393402</v>
      </c>
      <c r="E1677">
        <v>26.767008070310304</v>
      </c>
      <c r="F1677">
        <v>42.883498651837741</v>
      </c>
      <c r="I1677">
        <v>1</v>
      </c>
    </row>
    <row r="1678" spans="1:9">
      <c r="A1678" s="24">
        <v>9919</v>
      </c>
      <c r="B1678">
        <v>11</v>
      </c>
      <c r="C1678">
        <v>121</v>
      </c>
      <c r="D1678">
        <v>-5.9598788854041324E-2</v>
      </c>
      <c r="E1678">
        <v>-7.0487921886277116E-2</v>
      </c>
      <c r="F1678">
        <v>-9.3690922643656374E-2</v>
      </c>
    </row>
    <row r="1679" spans="1:9">
      <c r="A1679" s="24">
        <v>9921</v>
      </c>
      <c r="B1679">
        <v>236</v>
      </c>
      <c r="C1679">
        <v>772</v>
      </c>
      <c r="D1679">
        <v>119.36716197510668</v>
      </c>
      <c r="E1679">
        <v>161.84258623351377</v>
      </c>
      <c r="F1679">
        <v>266.12312388535764</v>
      </c>
      <c r="I1679">
        <v>1</v>
      </c>
    </row>
    <row r="1680" spans="1:9">
      <c r="A1680" s="24">
        <v>9924</v>
      </c>
      <c r="B1680">
        <v>42</v>
      </c>
      <c r="C1680">
        <v>862</v>
      </c>
      <c r="D1680">
        <v>32.456703549573227</v>
      </c>
      <c r="E1680">
        <v>41.804366164008826</v>
      </c>
      <c r="F1680">
        <v>64.000263273500437</v>
      </c>
      <c r="I1680">
        <v>1</v>
      </c>
    </row>
    <row r="1681" spans="1:9">
      <c r="A1681" s="24">
        <v>9925</v>
      </c>
      <c r="B1681">
        <v>38</v>
      </c>
      <c r="C1681">
        <v>150</v>
      </c>
      <c r="D1681">
        <v>24.919767713461276</v>
      </c>
      <c r="E1681">
        <v>32.759905269642466</v>
      </c>
      <c r="F1681">
        <v>51.65655942992602</v>
      </c>
      <c r="I1681">
        <v>1</v>
      </c>
    </row>
    <row r="1682" spans="1:9">
      <c r="A1682" s="24">
        <v>9926</v>
      </c>
      <c r="B1682">
        <v>40</v>
      </c>
      <c r="C1682">
        <v>0</v>
      </c>
      <c r="D1682">
        <v>24.428194628782027</v>
      </c>
      <c r="E1682">
        <v>32.33605822088397</v>
      </c>
      <c r="F1682">
        <v>51.482012415196067</v>
      </c>
      <c r="I1682">
        <v>1</v>
      </c>
    </row>
    <row r="1683" spans="1:9">
      <c r="A1683" s="24">
        <v>9927</v>
      </c>
      <c r="B1683">
        <v>33</v>
      </c>
      <c r="C1683">
        <v>154</v>
      </c>
      <c r="D1683">
        <v>16.599123106639759</v>
      </c>
      <c r="E1683">
        <v>21.421975411215875</v>
      </c>
      <c r="F1683">
        <v>32.891628822414958</v>
      </c>
    </row>
    <row r="1684" spans="1:9">
      <c r="A1684" s="24">
        <v>9928</v>
      </c>
      <c r="B1684">
        <v>5</v>
      </c>
      <c r="C1684">
        <v>6</v>
      </c>
      <c r="D1684">
        <v>0</v>
      </c>
      <c r="E1684">
        <v>0</v>
      </c>
      <c r="F1684">
        <v>0</v>
      </c>
    </row>
    <row r="1685" spans="1:9">
      <c r="A1685" s="24">
        <v>9929</v>
      </c>
      <c r="B1685">
        <v>14</v>
      </c>
      <c r="C1685">
        <v>71</v>
      </c>
      <c r="D1685">
        <v>9.0733211222846677</v>
      </c>
      <c r="E1685">
        <v>13.01025285238722</v>
      </c>
      <c r="F1685">
        <v>22.918092578819131</v>
      </c>
      <c r="I1685">
        <v>1</v>
      </c>
    </row>
    <row r="1686" spans="1:9">
      <c r="A1686" s="24">
        <v>9930</v>
      </c>
      <c r="B1686">
        <v>51</v>
      </c>
      <c r="C1686">
        <v>92</v>
      </c>
      <c r="D1686">
        <v>36.587015456709089</v>
      </c>
      <c r="E1686">
        <v>47.738902687878848</v>
      </c>
      <c r="F1686">
        <v>74.478771754376623</v>
      </c>
      <c r="I1686">
        <v>1</v>
      </c>
    </row>
    <row r="1687" spans="1:9">
      <c r="A1687" s="24">
        <v>9931</v>
      </c>
      <c r="B1687">
        <v>33</v>
      </c>
      <c r="C1687">
        <v>2</v>
      </c>
      <c r="D1687">
        <v>21.175723171197184</v>
      </c>
      <c r="E1687">
        <v>27.919544066094421</v>
      </c>
      <c r="F1687">
        <v>44.205392481128023</v>
      </c>
      <c r="I1687">
        <v>1</v>
      </c>
    </row>
    <row r="1688" spans="1:9">
      <c r="A1688" s="24">
        <v>9933</v>
      </c>
      <c r="B1688">
        <v>45</v>
      </c>
      <c r="C1688">
        <v>492</v>
      </c>
      <c r="D1688">
        <v>39.453843034597625</v>
      </c>
      <c r="E1688">
        <v>51.735662113859775</v>
      </c>
      <c r="F1688">
        <v>81.287175699976473</v>
      </c>
      <c r="H1688">
        <v>1</v>
      </c>
      <c r="I1688">
        <v>1</v>
      </c>
    </row>
    <row r="1689" spans="1:9">
      <c r="A1689" s="24">
        <v>9934</v>
      </c>
      <c r="B1689">
        <v>16</v>
      </c>
      <c r="C1689">
        <v>117</v>
      </c>
      <c r="D1689">
        <v>12.593713600466611</v>
      </c>
      <c r="E1689">
        <v>16.380207191633566</v>
      </c>
      <c r="F1689">
        <v>25.438595796125455</v>
      </c>
      <c r="H1689">
        <v>1</v>
      </c>
      <c r="I1689">
        <v>1</v>
      </c>
    </row>
    <row r="1690" spans="1:9">
      <c r="A1690" s="24">
        <v>9935</v>
      </c>
      <c r="B1690">
        <v>26</v>
      </c>
      <c r="C1690">
        <v>3084</v>
      </c>
      <c r="D1690">
        <v>6.6481475142677304</v>
      </c>
      <c r="E1690">
        <v>9.4302858882988758</v>
      </c>
      <c r="F1690">
        <v>16.403162058612004</v>
      </c>
    </row>
    <row r="1691" spans="1:9">
      <c r="A1691" s="24">
        <v>9937</v>
      </c>
      <c r="B1691">
        <v>44</v>
      </c>
      <c r="C1691">
        <v>440</v>
      </c>
      <c r="D1691">
        <v>28.149457562268115</v>
      </c>
      <c r="E1691">
        <v>36.714665243893855</v>
      </c>
      <c r="F1691">
        <v>57.246281765992165</v>
      </c>
      <c r="I1691">
        <v>1</v>
      </c>
    </row>
    <row r="1692" spans="1:9">
      <c r="A1692" s="24">
        <v>9938</v>
      </c>
      <c r="B1692">
        <v>93</v>
      </c>
      <c r="C1692">
        <v>1900</v>
      </c>
      <c r="D1692">
        <v>46.723563800839713</v>
      </c>
      <c r="E1692">
        <v>61.264826605905597</v>
      </c>
      <c r="F1692">
        <v>96.251425465359716</v>
      </c>
      <c r="I1692">
        <v>1</v>
      </c>
    </row>
    <row r="1693" spans="1:9">
      <c r="A1693" s="24">
        <v>9939</v>
      </c>
      <c r="B1693">
        <v>56</v>
      </c>
      <c r="C1693">
        <v>847</v>
      </c>
      <c r="D1693">
        <v>34.917688905590488</v>
      </c>
      <c r="E1693">
        <v>45.835331281831472</v>
      </c>
      <c r="F1693">
        <v>72.12321291467785</v>
      </c>
      <c r="I1693">
        <v>1</v>
      </c>
    </row>
    <row r="1694" spans="1:9">
      <c r="A1694" s="24">
        <v>9940</v>
      </c>
      <c r="B1694">
        <v>32</v>
      </c>
      <c r="C1694">
        <v>186</v>
      </c>
      <c r="D1694">
        <v>30.933005488779312</v>
      </c>
      <c r="E1694">
        <v>40.25064249867998</v>
      </c>
      <c r="F1694">
        <v>62.548073549332059</v>
      </c>
      <c r="H1694">
        <v>1</v>
      </c>
      <c r="I1694">
        <v>1</v>
      </c>
    </row>
    <row r="1695" spans="1:9">
      <c r="A1695" s="24">
        <v>9941</v>
      </c>
      <c r="B1695">
        <v>122</v>
      </c>
      <c r="C1695">
        <v>1819</v>
      </c>
      <c r="D1695">
        <v>90.959319175811942</v>
      </c>
      <c r="E1695">
        <v>116.96379210514442</v>
      </c>
      <c r="F1695">
        <v>178.62980998692348</v>
      </c>
      <c r="I1695">
        <v>1</v>
      </c>
    </row>
    <row r="1696" spans="1:9">
      <c r="A1696" s="24">
        <v>9942</v>
      </c>
      <c r="B1696">
        <v>74</v>
      </c>
      <c r="C1696">
        <v>107</v>
      </c>
      <c r="D1696">
        <v>61.780768757728161</v>
      </c>
      <c r="E1696">
        <v>80.483267307189607</v>
      </c>
      <c r="F1696">
        <v>125.2765523772335</v>
      </c>
      <c r="H1696">
        <v>1</v>
      </c>
      <c r="I1696">
        <v>1</v>
      </c>
    </row>
    <row r="1697" spans="1:9">
      <c r="A1697" s="24">
        <v>9943</v>
      </c>
      <c r="B1697">
        <v>67</v>
      </c>
      <c r="C1697">
        <v>93</v>
      </c>
      <c r="D1697">
        <v>50.083470819859144</v>
      </c>
      <c r="E1697">
        <v>64.261086056319613</v>
      </c>
      <c r="F1697">
        <v>97.821373576377979</v>
      </c>
      <c r="I1697">
        <v>1</v>
      </c>
    </row>
    <row r="1698" spans="1:9">
      <c r="A1698" s="24">
        <v>9944</v>
      </c>
      <c r="B1698">
        <v>18</v>
      </c>
      <c r="C1698">
        <v>38</v>
      </c>
      <c r="D1698">
        <v>17.52468791796419</v>
      </c>
      <c r="E1698">
        <v>24.900120882015582</v>
      </c>
      <c r="F1698">
        <v>43.397292424726764</v>
      </c>
      <c r="H1698">
        <v>1</v>
      </c>
      <c r="I1698">
        <v>1</v>
      </c>
    </row>
    <row r="1699" spans="1:9">
      <c r="A1699" s="24">
        <v>9945</v>
      </c>
      <c r="B1699">
        <v>42</v>
      </c>
      <c r="C1699">
        <v>1103</v>
      </c>
      <c r="D1699">
        <v>32.29605839432935</v>
      </c>
      <c r="E1699">
        <v>40.924239521141551</v>
      </c>
      <c r="F1699">
        <v>61.127124907549671</v>
      </c>
      <c r="I1699">
        <v>1</v>
      </c>
    </row>
    <row r="1700" spans="1:9">
      <c r="A1700" s="24">
        <v>9946</v>
      </c>
      <c r="B1700">
        <v>23</v>
      </c>
      <c r="C1700">
        <v>987</v>
      </c>
      <c r="D1700">
        <v>8.9613977526744897</v>
      </c>
      <c r="E1700">
        <v>11.288751294976239</v>
      </c>
      <c r="F1700">
        <v>16.707821489095974</v>
      </c>
    </row>
    <row r="1701" spans="1:9">
      <c r="A1701" s="24">
        <v>9949</v>
      </c>
      <c r="B1701">
        <v>10</v>
      </c>
      <c r="C1701">
        <v>24</v>
      </c>
      <c r="D1701">
        <v>-9.7672382567151921</v>
      </c>
      <c r="E1701">
        <v>-11.551783862086211</v>
      </c>
      <c r="F1701">
        <v>-15.354365106196488</v>
      </c>
    </row>
    <row r="1702" spans="1:9">
      <c r="A1702" s="24">
        <v>9950</v>
      </c>
      <c r="B1702">
        <v>14</v>
      </c>
      <c r="C1702">
        <v>12</v>
      </c>
      <c r="D1702">
        <v>-6.9487833719296308</v>
      </c>
      <c r="E1702">
        <v>-8.2183767311913094</v>
      </c>
      <c r="F1702">
        <v>-10.923677106281307</v>
      </c>
    </row>
    <row r="1703" spans="1:9">
      <c r="A1703" s="24">
        <v>9951</v>
      </c>
      <c r="B1703">
        <v>86</v>
      </c>
      <c r="C1703">
        <v>327</v>
      </c>
      <c r="D1703">
        <v>70.784420205246334</v>
      </c>
      <c r="E1703">
        <v>92.901585212598263</v>
      </c>
      <c r="F1703">
        <v>146.15028486833839</v>
      </c>
      <c r="H1703">
        <v>1</v>
      </c>
      <c r="I1703">
        <v>1</v>
      </c>
    </row>
    <row r="1704" spans="1:9">
      <c r="A1704" s="24">
        <v>9955</v>
      </c>
      <c r="B1704">
        <v>19</v>
      </c>
      <c r="C1704">
        <v>1543</v>
      </c>
      <c r="D1704">
        <v>0</v>
      </c>
      <c r="E1704">
        <v>0</v>
      </c>
      <c r="F1704">
        <v>0</v>
      </c>
    </row>
    <row r="1705" spans="1:9">
      <c r="A1705" s="24">
        <v>9958</v>
      </c>
      <c r="B1705">
        <v>82</v>
      </c>
      <c r="C1705">
        <v>10307</v>
      </c>
      <c r="D1705">
        <v>11.387193878244574</v>
      </c>
      <c r="E1705">
        <v>16.10137756998477</v>
      </c>
      <c r="F1705">
        <v>27.901653937935006</v>
      </c>
    </row>
    <row r="1706" spans="1:9">
      <c r="A1706" s="24">
        <v>9960</v>
      </c>
      <c r="B1706">
        <v>32</v>
      </c>
      <c r="C1706">
        <v>1</v>
      </c>
      <c r="D1706">
        <v>15.277874743964752</v>
      </c>
      <c r="E1706">
        <v>20.955215605501227</v>
      </c>
      <c r="F1706">
        <v>34.975962738702648</v>
      </c>
      <c r="I1706">
        <v>1</v>
      </c>
    </row>
    <row r="1707" spans="1:9">
      <c r="A1707" s="24">
        <v>9962</v>
      </c>
      <c r="B1707">
        <v>11</v>
      </c>
      <c r="C1707">
        <v>27</v>
      </c>
      <c r="D1707">
        <v>8.9178565179535525</v>
      </c>
      <c r="E1707">
        <v>11.500979047542437</v>
      </c>
      <c r="F1707">
        <v>17.640801280987848</v>
      </c>
      <c r="H1707">
        <v>1</v>
      </c>
      <c r="I1707">
        <v>1</v>
      </c>
    </row>
  </sheetData>
  <mergeCells count="4">
    <mergeCell ref="J10:Q11"/>
    <mergeCell ref="J4:Q7"/>
    <mergeCell ref="J36:Q37"/>
    <mergeCell ref="J19:Q3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_All">
                <anchor moveWithCells="1">
                  <from>
                    <xdr:col>9</xdr:col>
                    <xdr:colOff>57150</xdr:colOff>
                    <xdr:row>14</xdr:row>
                    <xdr:rowOff>171450</xdr:rowOff>
                  </from>
                  <to>
                    <xdr:col>10</xdr:col>
                    <xdr:colOff>723900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udf.Clear">
                <anchor moveWithCells="1">
                  <from>
                    <xdr:col>9</xdr:col>
                    <xdr:colOff>28575</xdr:colOff>
                    <xdr:row>32</xdr:row>
                    <xdr:rowOff>28575</xdr:rowOff>
                  </from>
                  <to>
                    <xdr:col>10</xdr:col>
                    <xdr:colOff>704850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elect_Single">
                <anchor moveWithCells="1">
                  <from>
                    <xdr:col>9</xdr:col>
                    <xdr:colOff>38100</xdr:colOff>
                    <xdr:row>7</xdr:row>
                    <xdr:rowOff>0</xdr:rowOff>
                  </from>
                  <to>
                    <xdr:col>10</xdr:col>
                    <xdr:colOff>676275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更新每日資料">
                <anchor moveWithCells="1">
                  <from>
                    <xdr:col>9</xdr:col>
                    <xdr:colOff>19050</xdr:colOff>
                    <xdr:row>0</xdr:row>
                    <xdr:rowOff>200025</xdr:rowOff>
                  </from>
                  <to>
                    <xdr:col>10</xdr:col>
                    <xdr:colOff>876300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38"/>
  <sheetViews>
    <sheetView workbookViewId="0"/>
  </sheetViews>
  <sheetFormatPr defaultRowHeight="16.5"/>
  <cols>
    <col min="1" max="1" width="32.75" bestFit="1" customWidth="1"/>
    <col min="2" max="2" width="7" bestFit="1" customWidth="1"/>
    <col min="3" max="3" width="81" bestFit="1" customWidth="1"/>
    <col min="4" max="4" width="18.375" customWidth="1"/>
    <col min="5" max="5" width="7.625" bestFit="1" customWidth="1"/>
    <col min="6" max="6" width="18.375" bestFit="1" customWidth="1"/>
    <col min="7" max="7" width="7" bestFit="1" customWidth="1"/>
    <col min="8" max="8" width="18.375" bestFit="1" customWidth="1"/>
    <col min="9" max="9" width="7.625" bestFit="1" customWidth="1"/>
    <col min="10" max="10" width="7.5" bestFit="1" customWidth="1"/>
  </cols>
  <sheetData>
    <row r="1" spans="1:9">
      <c r="A1" t="s">
        <v>361</v>
      </c>
    </row>
    <row r="2" spans="1:9">
      <c r="A2" t="s">
        <v>372</v>
      </c>
    </row>
    <row r="3" spans="1:9">
      <c r="A3" t="s">
        <v>48</v>
      </c>
      <c r="C3">
        <v>23.5</v>
      </c>
      <c r="D3" t="s">
        <v>49</v>
      </c>
      <c r="E3">
        <v>23.75</v>
      </c>
      <c r="F3" t="s">
        <v>50</v>
      </c>
      <c r="G3">
        <v>23.15</v>
      </c>
      <c r="H3" t="s">
        <v>51</v>
      </c>
      <c r="I3">
        <v>23.55</v>
      </c>
    </row>
    <row r="4" spans="1:9">
      <c r="A4" t="s">
        <v>52</v>
      </c>
      <c r="C4">
        <v>0.35</v>
      </c>
      <c r="D4" t="s">
        <v>53</v>
      </c>
      <c r="E4">
        <v>27.15</v>
      </c>
      <c r="F4" t="s">
        <v>54</v>
      </c>
      <c r="G4">
        <v>14.3</v>
      </c>
    </row>
    <row r="5" spans="1:9">
      <c r="A5" t="s">
        <v>55</v>
      </c>
      <c r="C5" s="22">
        <v>17.32</v>
      </c>
      <c r="D5" t="s">
        <v>56</v>
      </c>
      <c r="E5" s="20">
        <v>67534</v>
      </c>
      <c r="F5" t="s">
        <v>57</v>
      </c>
      <c r="G5" s="20">
        <v>563</v>
      </c>
      <c r="H5" t="s">
        <v>58</v>
      </c>
      <c r="I5" s="20">
        <v>6982</v>
      </c>
    </row>
    <row r="6" spans="1:9">
      <c r="A6" t="s">
        <v>59</v>
      </c>
      <c r="C6">
        <v>51</v>
      </c>
      <c r="D6" t="s">
        <v>60</v>
      </c>
      <c r="E6" s="22">
        <v>17.7</v>
      </c>
      <c r="F6" s="20" t="s">
        <v>61</v>
      </c>
      <c r="G6" s="22">
        <v>10.14</v>
      </c>
      <c r="H6" t="s">
        <v>62</v>
      </c>
      <c r="I6" s="20">
        <v>19</v>
      </c>
    </row>
    <row r="7" spans="1:9">
      <c r="A7" t="s">
        <v>63</v>
      </c>
      <c r="C7" s="21">
        <v>2.12E-2</v>
      </c>
      <c r="D7" t="s">
        <v>64</v>
      </c>
      <c r="E7" s="20">
        <v>10490</v>
      </c>
      <c r="F7" t="s">
        <v>65</v>
      </c>
      <c r="G7" s="20">
        <v>24530</v>
      </c>
      <c r="H7" t="s">
        <v>66</v>
      </c>
      <c r="I7" s="20">
        <v>1724</v>
      </c>
    </row>
    <row r="8" spans="1:9">
      <c r="A8" t="s">
        <v>373</v>
      </c>
      <c r="D8" s="21" t="s">
        <v>356</v>
      </c>
      <c r="F8" s="20" t="s">
        <v>374</v>
      </c>
      <c r="H8" s="20" t="s">
        <v>67</v>
      </c>
    </row>
    <row r="9" spans="1:9">
      <c r="A9" t="s">
        <v>68</v>
      </c>
      <c r="C9" s="21">
        <v>0.32900000000000001</v>
      </c>
      <c r="D9" t="s">
        <v>69</v>
      </c>
      <c r="E9">
        <v>17</v>
      </c>
      <c r="F9" t="s">
        <v>70</v>
      </c>
      <c r="G9">
        <v>1.57</v>
      </c>
      <c r="H9" t="s">
        <v>124</v>
      </c>
      <c r="I9" s="21">
        <v>0.1053</v>
      </c>
    </row>
    <row r="10" spans="1:9">
      <c r="A10" t="s">
        <v>72</v>
      </c>
      <c r="C10" s="21">
        <v>2.3900000000000001E-2</v>
      </c>
      <c r="D10" s="21" t="s">
        <v>73</v>
      </c>
      <c r="E10" s="22">
        <v>908</v>
      </c>
      <c r="F10" t="s">
        <v>74</v>
      </c>
      <c r="G10" s="21">
        <v>2.5899999999999999E-2</v>
      </c>
      <c r="H10" t="s">
        <v>125</v>
      </c>
      <c r="I10" s="21">
        <v>8.6099999999999996E-2</v>
      </c>
    </row>
    <row r="11" spans="1:9">
      <c r="A11" t="s">
        <v>75</v>
      </c>
      <c r="C11" s="21">
        <v>4.3E-3</v>
      </c>
      <c r="D11" s="21" t="s">
        <v>76</v>
      </c>
      <c r="E11">
        <v>3.22</v>
      </c>
      <c r="F11" s="22"/>
      <c r="H11" s="21" t="s">
        <v>126</v>
      </c>
      <c r="I11" s="21">
        <v>3.5000000000000003E-2</v>
      </c>
    </row>
    <row r="12" spans="1:9">
      <c r="A12" t="s">
        <v>77</v>
      </c>
      <c r="C12" s="21">
        <v>0.14319999999999999</v>
      </c>
      <c r="D12" s="21" t="s">
        <v>78</v>
      </c>
      <c r="E12" s="21">
        <v>0.29549999999999998</v>
      </c>
      <c r="H12" t="s">
        <v>127</v>
      </c>
      <c r="I12" s="21">
        <v>4.82E-2</v>
      </c>
    </row>
    <row r="13" spans="1:9">
      <c r="A13" t="s">
        <v>79</v>
      </c>
      <c r="C13" s="21">
        <v>0.1711</v>
      </c>
      <c r="D13" s="21" t="s">
        <v>80</v>
      </c>
      <c r="E13">
        <v>1.39</v>
      </c>
      <c r="F13" s="21"/>
      <c r="H13" t="s">
        <v>355</v>
      </c>
      <c r="I13" s="21">
        <v>8.6800000000000002E-2</v>
      </c>
    </row>
    <row r="14" spans="1:9">
      <c r="A14" t="s">
        <v>81</v>
      </c>
      <c r="D14" s="21" t="s">
        <v>357</v>
      </c>
      <c r="F14" t="s">
        <v>82</v>
      </c>
      <c r="H14" t="s">
        <v>360</v>
      </c>
      <c r="I14" t="s">
        <v>83</v>
      </c>
    </row>
    <row r="15" spans="1:9">
      <c r="A15" t="s">
        <v>84</v>
      </c>
      <c r="C15" s="22">
        <v>44.54</v>
      </c>
      <c r="D15" t="s">
        <v>85</v>
      </c>
      <c r="E15" s="21">
        <v>0.31419999999999998</v>
      </c>
      <c r="F15" t="s">
        <v>86</v>
      </c>
      <c r="G15">
        <v>0.5</v>
      </c>
      <c r="H15" t="s">
        <v>87</v>
      </c>
      <c r="I15" t="s">
        <v>71</v>
      </c>
    </row>
    <row r="16" spans="1:9">
      <c r="A16" t="s">
        <v>88</v>
      </c>
      <c r="C16" s="23">
        <v>26654</v>
      </c>
      <c r="D16" t="s">
        <v>89</v>
      </c>
      <c r="E16" s="21">
        <v>0.14699999999999999</v>
      </c>
      <c r="F16" s="21" t="s">
        <v>90</v>
      </c>
      <c r="G16">
        <v>0</v>
      </c>
      <c r="H16" t="s">
        <v>91</v>
      </c>
      <c r="I16" t="s">
        <v>71</v>
      </c>
    </row>
    <row r="17" spans="1:9">
      <c r="A17" t="s">
        <v>92</v>
      </c>
      <c r="C17" s="23">
        <v>30804</v>
      </c>
      <c r="D17" t="s">
        <v>93</v>
      </c>
      <c r="E17" s="21">
        <v>0.15060000000000001</v>
      </c>
      <c r="F17" s="21" t="s">
        <v>94</v>
      </c>
      <c r="G17">
        <v>0</v>
      </c>
      <c r="H17" t="s">
        <v>95</v>
      </c>
      <c r="I17" t="s">
        <v>71</v>
      </c>
    </row>
    <row r="18" spans="1:9">
      <c r="A18" t="s">
        <v>96</v>
      </c>
      <c r="C18" t="s">
        <v>358</v>
      </c>
      <c r="D18" t="s">
        <v>97</v>
      </c>
      <c r="E18" s="21">
        <v>1.44E-2</v>
      </c>
      <c r="F18" s="21" t="s">
        <v>98</v>
      </c>
      <c r="G18">
        <v>0</v>
      </c>
      <c r="H18" t="s">
        <v>99</v>
      </c>
      <c r="I18" t="s">
        <v>71</v>
      </c>
    </row>
    <row r="19" spans="1:9">
      <c r="C19" t="s">
        <v>359</v>
      </c>
      <c r="E19" s="21"/>
      <c r="F19" s="21"/>
    </row>
    <row r="20" spans="1:9">
      <c r="A20" t="s">
        <v>100</v>
      </c>
      <c r="C20" t="s">
        <v>362</v>
      </c>
      <c r="D20" t="s">
        <v>101</v>
      </c>
      <c r="E20" s="21">
        <v>1.9300000000000001E-2</v>
      </c>
      <c r="F20" t="s">
        <v>102</v>
      </c>
      <c r="G20" t="s">
        <v>71</v>
      </c>
      <c r="H20" t="s">
        <v>103</v>
      </c>
      <c r="I20" t="s">
        <v>71</v>
      </c>
    </row>
    <row r="21" spans="1:9">
      <c r="A21" t="s">
        <v>104</v>
      </c>
      <c r="C21" t="s">
        <v>363</v>
      </c>
      <c r="F21" s="21" t="s">
        <v>105</v>
      </c>
      <c r="G21" t="s">
        <v>71</v>
      </c>
    </row>
    <row r="22" spans="1:9">
      <c r="A22" t="s">
        <v>106</v>
      </c>
      <c r="C22" t="s">
        <v>364</v>
      </c>
      <c r="F22" t="s">
        <v>107</v>
      </c>
      <c r="G22" t="s">
        <v>71</v>
      </c>
    </row>
    <row r="23" spans="1:9">
      <c r="A23" t="s">
        <v>108</v>
      </c>
      <c r="C23" t="s">
        <v>365</v>
      </c>
    </row>
    <row r="24" spans="1:9">
      <c r="A24" t="s">
        <v>109</v>
      </c>
      <c r="C24" t="s">
        <v>366</v>
      </c>
    </row>
    <row r="25" spans="1:9">
      <c r="A25" t="s">
        <v>110</v>
      </c>
      <c r="C25" t="s">
        <v>367</v>
      </c>
    </row>
    <row r="26" spans="1:9">
      <c r="A26" t="s">
        <v>111</v>
      </c>
      <c r="C26" t="s">
        <v>368</v>
      </c>
    </row>
    <row r="27" spans="1:9">
      <c r="A27" t="s">
        <v>112</v>
      </c>
      <c r="B27" s="20">
        <v>108</v>
      </c>
      <c r="C27" s="20">
        <v>107</v>
      </c>
      <c r="D27" s="20">
        <v>106</v>
      </c>
      <c r="E27" s="20">
        <v>105</v>
      </c>
      <c r="F27" s="20">
        <v>104</v>
      </c>
      <c r="G27" s="20">
        <v>103</v>
      </c>
      <c r="H27" s="20">
        <v>102</v>
      </c>
      <c r="I27" s="20">
        <v>101</v>
      </c>
    </row>
    <row r="28" spans="1:9">
      <c r="A28" t="s">
        <v>113</v>
      </c>
      <c r="B28" s="20">
        <v>11515</v>
      </c>
      <c r="C28" s="20">
        <v>14878</v>
      </c>
      <c r="D28" s="20">
        <v>11904</v>
      </c>
      <c r="E28" s="20">
        <v>8021</v>
      </c>
      <c r="F28" s="20">
        <v>7912</v>
      </c>
      <c r="G28" s="20">
        <v>9413</v>
      </c>
      <c r="H28" s="20">
        <v>7012</v>
      </c>
      <c r="I28" s="20">
        <v>8191</v>
      </c>
    </row>
    <row r="29" spans="1:9">
      <c r="A29" t="s">
        <v>114</v>
      </c>
      <c r="B29" s="20">
        <v>7795</v>
      </c>
      <c r="C29" s="20">
        <v>6414</v>
      </c>
      <c r="D29" s="20">
        <v>7394</v>
      </c>
      <c r="E29" s="20">
        <v>4938</v>
      </c>
      <c r="F29" s="20">
        <v>4043</v>
      </c>
      <c r="G29" s="20">
        <v>6466</v>
      </c>
      <c r="H29" s="20">
        <v>5812</v>
      </c>
      <c r="I29" s="20">
        <v>5575</v>
      </c>
    </row>
    <row r="30" spans="1:9">
      <c r="A30" t="s">
        <v>115</v>
      </c>
      <c r="B30" s="22">
        <v>17.7</v>
      </c>
      <c r="C30" s="20">
        <v>23.03</v>
      </c>
      <c r="D30" s="20">
        <v>15.43</v>
      </c>
      <c r="E30" s="20">
        <v>12.38</v>
      </c>
      <c r="F30" s="20">
        <v>14.53</v>
      </c>
      <c r="G30" s="20">
        <v>24.64</v>
      </c>
      <c r="H30" s="20">
        <v>20.87</v>
      </c>
      <c r="I30" s="20">
        <v>19.71</v>
      </c>
    </row>
    <row r="31" spans="1:9">
      <c r="A31" t="s">
        <v>116</v>
      </c>
      <c r="B31" s="22">
        <v>12.68</v>
      </c>
      <c r="C31" s="22">
        <v>10.14</v>
      </c>
      <c r="D31" s="22">
        <v>8.8000000000000007</v>
      </c>
      <c r="E31" s="22">
        <v>8.2100000000000009</v>
      </c>
      <c r="F31" s="22">
        <v>7.64</v>
      </c>
      <c r="G31" s="22">
        <v>12.74</v>
      </c>
      <c r="H31" s="22">
        <v>16</v>
      </c>
      <c r="I31" s="22">
        <v>10.09</v>
      </c>
    </row>
    <row r="32" spans="1:9">
      <c r="A32" t="s">
        <v>90</v>
      </c>
      <c r="B32" t="s">
        <v>71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>
      <c r="A33" t="s">
        <v>117</v>
      </c>
      <c r="B33" t="s">
        <v>71</v>
      </c>
      <c r="C33">
        <v>0.5</v>
      </c>
      <c r="D33">
        <v>1.35</v>
      </c>
      <c r="E33">
        <v>1.19</v>
      </c>
      <c r="F33">
        <v>1</v>
      </c>
      <c r="G33">
        <v>0.75</v>
      </c>
      <c r="H33">
        <v>0.6</v>
      </c>
      <c r="I33">
        <v>0.45</v>
      </c>
    </row>
    <row r="34" spans="1:9">
      <c r="A34" t="s">
        <v>118</v>
      </c>
      <c r="C34" t="s">
        <v>119</v>
      </c>
    </row>
    <row r="35" spans="1:9">
      <c r="C35" t="s">
        <v>120</v>
      </c>
    </row>
    <row r="36" spans="1:9">
      <c r="C36" t="s">
        <v>121</v>
      </c>
    </row>
    <row r="37" spans="1:9">
      <c r="C37" t="s">
        <v>122</v>
      </c>
    </row>
    <row r="38" spans="1:9">
      <c r="C38" t="s">
        <v>123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10"/>
  <sheetViews>
    <sheetView topLeftCell="A31" workbookViewId="0">
      <selection activeCell="A52" sqref="A52"/>
    </sheetView>
  </sheetViews>
  <sheetFormatPr defaultRowHeight="16.5"/>
  <cols>
    <col min="1" max="1" width="59.375" customWidth="1"/>
    <col min="2" max="9" width="6" bestFit="1" customWidth="1"/>
  </cols>
  <sheetData>
    <row r="1" spans="1:9">
      <c r="A1" t="s">
        <v>369</v>
      </c>
    </row>
    <row r="2" spans="1:9">
      <c r="A2" t="s">
        <v>129</v>
      </c>
    </row>
    <row r="3" spans="1:9">
      <c r="A3" t="s">
        <v>130</v>
      </c>
      <c r="B3">
        <v>2018</v>
      </c>
      <c r="C3">
        <v>2017</v>
      </c>
      <c r="D3">
        <v>2016</v>
      </c>
      <c r="E3">
        <v>2015</v>
      </c>
      <c r="F3">
        <v>2014</v>
      </c>
      <c r="G3">
        <v>2013</v>
      </c>
      <c r="H3">
        <v>2012</v>
      </c>
      <c r="I3">
        <v>2011</v>
      </c>
    </row>
    <row r="4" spans="1:9">
      <c r="A4" t="s">
        <v>131</v>
      </c>
      <c r="B4" t="s">
        <v>346</v>
      </c>
      <c r="C4" t="s">
        <v>346</v>
      </c>
      <c r="D4" t="s">
        <v>346</v>
      </c>
      <c r="E4" t="s">
        <v>346</v>
      </c>
      <c r="F4" t="s">
        <v>346</v>
      </c>
      <c r="G4" t="s">
        <v>346</v>
      </c>
      <c r="H4" t="s">
        <v>346</v>
      </c>
      <c r="I4" t="s">
        <v>346</v>
      </c>
    </row>
    <row r="5" spans="1:9">
      <c r="A5" t="s">
        <v>227</v>
      </c>
      <c r="B5" s="20">
        <v>5365</v>
      </c>
      <c r="C5" s="20">
        <v>5590</v>
      </c>
      <c r="D5" s="20">
        <v>5488</v>
      </c>
      <c r="E5" s="20">
        <v>5631</v>
      </c>
      <c r="F5" s="20">
        <v>6317</v>
      </c>
      <c r="G5" s="20">
        <v>6392</v>
      </c>
      <c r="H5" s="20">
        <v>6844</v>
      </c>
      <c r="I5" s="20">
        <v>7474</v>
      </c>
    </row>
    <row r="6" spans="1:9">
      <c r="A6" t="s">
        <v>228</v>
      </c>
      <c r="B6" s="20">
        <v>5365</v>
      </c>
      <c r="C6" s="20">
        <v>5590</v>
      </c>
      <c r="D6" s="20">
        <v>5488</v>
      </c>
      <c r="E6" s="20">
        <v>5631</v>
      </c>
      <c r="F6" s="20">
        <v>6317</v>
      </c>
      <c r="G6" s="20">
        <v>6392</v>
      </c>
      <c r="H6" s="20">
        <v>6844</v>
      </c>
      <c r="I6" s="20">
        <v>7343</v>
      </c>
    </row>
    <row r="7" spans="1:9">
      <c r="A7" t="s">
        <v>229</v>
      </c>
      <c r="B7" s="20">
        <v>3743</v>
      </c>
      <c r="C7" s="20">
        <v>3936</v>
      </c>
      <c r="D7" s="20">
        <v>3894</v>
      </c>
      <c r="E7" s="20">
        <v>4111</v>
      </c>
      <c r="F7" s="20">
        <v>4645</v>
      </c>
      <c r="G7" s="20">
        <v>4982</v>
      </c>
      <c r="H7" s="20">
        <v>5566</v>
      </c>
      <c r="I7" s="20">
        <v>5788</v>
      </c>
    </row>
    <row r="8" spans="1:9">
      <c r="A8" t="s">
        <v>230</v>
      </c>
      <c r="B8" s="20">
        <v>3743</v>
      </c>
      <c r="C8" s="20">
        <v>3936</v>
      </c>
      <c r="D8" s="20">
        <v>3894</v>
      </c>
      <c r="E8" s="20">
        <v>4111</v>
      </c>
      <c r="F8" s="20">
        <v>4645</v>
      </c>
      <c r="G8" s="20">
        <v>4982</v>
      </c>
      <c r="H8" s="20">
        <v>5566</v>
      </c>
      <c r="I8" s="20">
        <v>5788</v>
      </c>
    </row>
    <row r="9" spans="1:9">
      <c r="A9" t="s">
        <v>231</v>
      </c>
      <c r="B9" s="20">
        <v>1622</v>
      </c>
      <c r="C9" s="20">
        <v>1654</v>
      </c>
      <c r="D9" s="20">
        <v>1595</v>
      </c>
      <c r="E9" s="20">
        <v>1520</v>
      </c>
      <c r="F9" s="20">
        <v>1672</v>
      </c>
      <c r="G9" s="20">
        <v>1409</v>
      </c>
      <c r="H9" s="20">
        <v>1278</v>
      </c>
      <c r="I9" s="20">
        <v>1555</v>
      </c>
    </row>
    <row r="10" spans="1:9">
      <c r="A10" t="s">
        <v>232</v>
      </c>
      <c r="B10" s="20">
        <v>0</v>
      </c>
      <c r="C10" s="20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</row>
    <row r="11" spans="1:9">
      <c r="A11" t="s">
        <v>233</v>
      </c>
      <c r="B11" s="20">
        <v>1622</v>
      </c>
      <c r="C11" s="20">
        <v>1654</v>
      </c>
      <c r="D11" s="20">
        <v>1595</v>
      </c>
      <c r="E11" s="20">
        <v>1520</v>
      </c>
      <c r="F11" s="20">
        <v>1672</v>
      </c>
      <c r="G11" s="20">
        <v>1409</v>
      </c>
      <c r="H11" s="20">
        <v>1278</v>
      </c>
      <c r="I11" s="20">
        <v>1555</v>
      </c>
    </row>
    <row r="12" spans="1:9">
      <c r="A12" t="s">
        <v>234</v>
      </c>
      <c r="B12" s="20">
        <v>884</v>
      </c>
      <c r="C12" s="20">
        <v>871</v>
      </c>
      <c r="D12" s="20">
        <v>913</v>
      </c>
      <c r="E12" s="20">
        <v>954</v>
      </c>
      <c r="F12" s="20">
        <v>926</v>
      </c>
      <c r="G12" s="20">
        <v>922</v>
      </c>
      <c r="H12" s="20">
        <v>871</v>
      </c>
      <c r="I12" s="20">
        <v>937</v>
      </c>
    </row>
    <row r="13" spans="1:9">
      <c r="A13" t="s">
        <v>235</v>
      </c>
      <c r="B13" s="20">
        <v>118</v>
      </c>
      <c r="C13" s="20">
        <v>115</v>
      </c>
      <c r="D13" s="20">
        <v>175</v>
      </c>
      <c r="E13" s="20">
        <v>169</v>
      </c>
      <c r="F13" s="20">
        <v>160</v>
      </c>
      <c r="G13" s="20">
        <v>189</v>
      </c>
      <c r="H13" s="20">
        <v>153</v>
      </c>
      <c r="I13" s="20">
        <v>165</v>
      </c>
    </row>
    <row r="14" spans="1:9">
      <c r="A14" t="s">
        <v>236</v>
      </c>
      <c r="B14" s="20">
        <v>451</v>
      </c>
      <c r="C14" s="20">
        <v>455</v>
      </c>
      <c r="D14" s="20">
        <v>434</v>
      </c>
      <c r="E14" s="20">
        <v>503</v>
      </c>
      <c r="F14" s="20">
        <v>483</v>
      </c>
      <c r="G14" s="20">
        <v>463</v>
      </c>
      <c r="H14" s="20">
        <v>475</v>
      </c>
      <c r="I14" s="20">
        <v>550</v>
      </c>
    </row>
    <row r="15" spans="1:9">
      <c r="A15" t="s">
        <v>237</v>
      </c>
      <c r="B15" s="20">
        <v>318</v>
      </c>
      <c r="C15" s="20">
        <v>300</v>
      </c>
      <c r="D15" s="20">
        <v>304</v>
      </c>
      <c r="E15" s="20">
        <v>282</v>
      </c>
      <c r="F15" s="20">
        <v>283</v>
      </c>
      <c r="G15" s="20">
        <v>270</v>
      </c>
      <c r="H15" s="20">
        <v>243</v>
      </c>
      <c r="I15" s="20">
        <v>222</v>
      </c>
    </row>
    <row r="16" spans="1:9">
      <c r="A16" t="s">
        <v>238</v>
      </c>
      <c r="B16" s="20">
        <v>0</v>
      </c>
      <c r="C16" s="20">
        <v>0</v>
      </c>
      <c r="D16">
        <v>0</v>
      </c>
      <c r="E16">
        <v>0</v>
      </c>
      <c r="F16">
        <v>0</v>
      </c>
      <c r="G16" s="20">
        <v>0</v>
      </c>
      <c r="H16">
        <v>0</v>
      </c>
      <c r="I16">
        <v>0</v>
      </c>
    </row>
    <row r="17" spans="1:9">
      <c r="A17" t="s">
        <v>239</v>
      </c>
      <c r="B17" s="20">
        <v>-4</v>
      </c>
      <c r="C17" s="20" t="s">
        <v>71</v>
      </c>
      <c r="D17" s="20" t="s">
        <v>71</v>
      </c>
      <c r="E17" s="20" t="s">
        <v>71</v>
      </c>
      <c r="F17" s="20" t="s">
        <v>71</v>
      </c>
      <c r="G17" s="20" t="s">
        <v>71</v>
      </c>
      <c r="H17" s="20" t="s">
        <v>71</v>
      </c>
      <c r="I17" s="20" t="s">
        <v>71</v>
      </c>
    </row>
    <row r="18" spans="1:9">
      <c r="A18" t="s">
        <v>240</v>
      </c>
      <c r="B18" s="20">
        <v>0</v>
      </c>
      <c r="C18" s="20">
        <v>0</v>
      </c>
      <c r="D18" s="20">
        <v>0</v>
      </c>
      <c r="E18" s="20">
        <v>0</v>
      </c>
      <c r="F18" s="20">
        <v>0</v>
      </c>
      <c r="G18" s="20">
        <v>0</v>
      </c>
      <c r="H18" s="20">
        <v>0</v>
      </c>
      <c r="I18">
        <v>0</v>
      </c>
    </row>
    <row r="19" spans="1:9">
      <c r="A19" t="s">
        <v>241</v>
      </c>
      <c r="B19" s="20">
        <v>738</v>
      </c>
      <c r="C19" s="20">
        <v>784</v>
      </c>
      <c r="D19" s="20">
        <v>682</v>
      </c>
      <c r="E19" s="20">
        <v>566</v>
      </c>
      <c r="F19" s="20">
        <v>746</v>
      </c>
      <c r="G19" s="20">
        <v>487</v>
      </c>
      <c r="H19" s="20">
        <v>408</v>
      </c>
      <c r="I19" s="20">
        <v>617</v>
      </c>
    </row>
    <row r="20" spans="1:9">
      <c r="A20" t="s">
        <v>242</v>
      </c>
      <c r="B20" s="20">
        <v>14</v>
      </c>
      <c r="C20" s="20">
        <v>13</v>
      </c>
      <c r="D20" s="20">
        <v>17</v>
      </c>
      <c r="E20" s="20">
        <v>26</v>
      </c>
      <c r="F20" s="20">
        <v>24</v>
      </c>
      <c r="G20" s="20">
        <v>20</v>
      </c>
      <c r="H20" s="20">
        <v>25</v>
      </c>
      <c r="I20" s="20">
        <v>43</v>
      </c>
    </row>
    <row r="21" spans="1:9">
      <c r="A21" t="s">
        <v>243</v>
      </c>
      <c r="B21" s="20">
        <v>0</v>
      </c>
      <c r="C21" s="20">
        <v>1</v>
      </c>
      <c r="D21" s="20">
        <v>2</v>
      </c>
      <c r="E21" s="20">
        <v>1</v>
      </c>
      <c r="F21" s="20">
        <v>2</v>
      </c>
      <c r="G21" s="20">
        <v>2</v>
      </c>
      <c r="H21" s="20">
        <v>2</v>
      </c>
      <c r="I21" s="20">
        <v>3</v>
      </c>
    </row>
    <row r="22" spans="1:9">
      <c r="A22" t="s">
        <v>244</v>
      </c>
      <c r="B22" s="20">
        <v>0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>
        <v>0</v>
      </c>
      <c r="I22" t="s">
        <v>71</v>
      </c>
    </row>
    <row r="23" spans="1:9">
      <c r="A23" t="s">
        <v>245</v>
      </c>
      <c r="B23" s="20">
        <v>15</v>
      </c>
      <c r="C23" s="20">
        <v>21</v>
      </c>
      <c r="D23" s="20">
        <v>14</v>
      </c>
      <c r="E23" s="20">
        <v>13</v>
      </c>
      <c r="F23" s="20">
        <v>15</v>
      </c>
      <c r="G23" s="20">
        <v>8</v>
      </c>
      <c r="H23" s="20">
        <v>11</v>
      </c>
      <c r="I23" s="20">
        <v>15</v>
      </c>
    </row>
    <row r="24" spans="1:9">
      <c r="A24" t="s">
        <v>246</v>
      </c>
      <c r="B24" s="20">
        <v>0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 t="s">
        <v>71</v>
      </c>
    </row>
    <row r="25" spans="1:9">
      <c r="A25" t="s">
        <v>247</v>
      </c>
      <c r="B25">
        <v>0</v>
      </c>
      <c r="C25">
        <v>0</v>
      </c>
      <c r="D25">
        <v>0</v>
      </c>
      <c r="E25">
        <v>0</v>
      </c>
      <c r="F25" s="20">
        <v>0</v>
      </c>
      <c r="G25" s="20">
        <v>0</v>
      </c>
      <c r="H25" s="20">
        <v>0</v>
      </c>
      <c r="I25" s="20">
        <v>0</v>
      </c>
    </row>
    <row r="26" spans="1:9">
      <c r="A26" t="s">
        <v>248</v>
      </c>
      <c r="B26" s="20">
        <v>0</v>
      </c>
      <c r="C26" s="20">
        <v>0</v>
      </c>
      <c r="D26" s="20">
        <v>0</v>
      </c>
      <c r="E26">
        <v>0</v>
      </c>
      <c r="F26">
        <v>13</v>
      </c>
      <c r="G26" s="20">
        <v>0</v>
      </c>
      <c r="H26" s="20">
        <v>0</v>
      </c>
      <c r="I26" s="20">
        <v>62</v>
      </c>
    </row>
    <row r="27" spans="1:9">
      <c r="A27" t="s">
        <v>249</v>
      </c>
      <c r="B27" s="20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20">
        <v>0</v>
      </c>
      <c r="I27" s="20">
        <v>0</v>
      </c>
    </row>
    <row r="28" spans="1:9">
      <c r="A28" t="s">
        <v>250</v>
      </c>
      <c r="B28" s="20">
        <v>0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 t="s">
        <v>71</v>
      </c>
    </row>
    <row r="29" spans="1:9">
      <c r="A29" t="s">
        <v>251</v>
      </c>
      <c r="B29" s="20">
        <v>17</v>
      </c>
      <c r="C29" s="20">
        <v>57</v>
      </c>
      <c r="D29" s="20">
        <v>18</v>
      </c>
      <c r="E29" s="20">
        <v>18</v>
      </c>
      <c r="F29" s="20">
        <v>8</v>
      </c>
      <c r="G29" s="20">
        <v>7</v>
      </c>
      <c r="H29" s="20">
        <v>18</v>
      </c>
      <c r="I29" s="20">
        <v>24</v>
      </c>
    </row>
    <row r="30" spans="1:9">
      <c r="A30" t="s">
        <v>252</v>
      </c>
      <c r="B30" s="20">
        <v>46</v>
      </c>
      <c r="C30" s="20">
        <v>93</v>
      </c>
      <c r="D30" s="20">
        <v>51</v>
      </c>
      <c r="E30" s="20">
        <v>58</v>
      </c>
      <c r="F30" s="20">
        <v>61</v>
      </c>
      <c r="G30" s="20">
        <v>38</v>
      </c>
      <c r="H30" s="20">
        <v>56</v>
      </c>
      <c r="I30" s="20">
        <v>147</v>
      </c>
    </row>
    <row r="31" spans="1:9">
      <c r="A31" t="s">
        <v>253</v>
      </c>
      <c r="B31" s="20">
        <v>0</v>
      </c>
      <c r="C31" s="20">
        <v>0</v>
      </c>
      <c r="D31" s="20">
        <v>152</v>
      </c>
      <c r="E31" s="20">
        <v>27</v>
      </c>
      <c r="F31" s="20">
        <v>0</v>
      </c>
      <c r="G31" s="20">
        <v>4</v>
      </c>
      <c r="H31" s="20">
        <v>0</v>
      </c>
      <c r="I31" s="20">
        <v>0</v>
      </c>
    </row>
    <row r="32" spans="1:9">
      <c r="A32" t="s">
        <v>254</v>
      </c>
      <c r="B32" s="20">
        <v>1</v>
      </c>
      <c r="C32" s="20">
        <v>3</v>
      </c>
      <c r="D32" s="20">
        <v>147</v>
      </c>
      <c r="E32" s="20">
        <v>90</v>
      </c>
      <c r="F32" s="20">
        <v>0</v>
      </c>
      <c r="G32" s="20">
        <v>2</v>
      </c>
      <c r="H32" s="20">
        <v>2</v>
      </c>
      <c r="I32" s="20">
        <v>8</v>
      </c>
    </row>
    <row r="33" spans="1:9">
      <c r="A33" t="s">
        <v>255</v>
      </c>
      <c r="B33" s="20">
        <v>12</v>
      </c>
      <c r="C33" s="20">
        <v>0</v>
      </c>
      <c r="D33" s="20">
        <v>0</v>
      </c>
      <c r="E33" s="20">
        <v>14</v>
      </c>
      <c r="F33" s="20">
        <v>25</v>
      </c>
      <c r="G33" s="20">
        <v>23</v>
      </c>
      <c r="H33" s="20">
        <v>0</v>
      </c>
      <c r="I33" s="20">
        <v>0</v>
      </c>
    </row>
    <row r="34" spans="1:9">
      <c r="A34" t="s">
        <v>256</v>
      </c>
      <c r="B34" s="20">
        <v>16</v>
      </c>
      <c r="C34" s="20">
        <v>1</v>
      </c>
      <c r="D34" s="20">
        <v>0</v>
      </c>
      <c r="E34" s="20">
        <v>6</v>
      </c>
      <c r="F34" s="20">
        <v>1</v>
      </c>
      <c r="G34" s="20">
        <v>0</v>
      </c>
      <c r="H34" s="20">
        <v>0</v>
      </c>
      <c r="I34" s="20">
        <v>1</v>
      </c>
    </row>
    <row r="35" spans="1:9">
      <c r="A35" t="s">
        <v>257</v>
      </c>
      <c r="B35">
        <v>0</v>
      </c>
      <c r="C35" t="s">
        <v>71</v>
      </c>
      <c r="D35" s="20" t="s">
        <v>71</v>
      </c>
      <c r="E35" t="s">
        <v>71</v>
      </c>
      <c r="F35" t="s">
        <v>71</v>
      </c>
      <c r="G35" t="s">
        <v>71</v>
      </c>
      <c r="H35" t="s">
        <v>71</v>
      </c>
      <c r="I35" s="20" t="s">
        <v>71</v>
      </c>
    </row>
    <row r="36" spans="1:9">
      <c r="A36" t="s">
        <v>258</v>
      </c>
      <c r="B36" s="20">
        <v>0</v>
      </c>
      <c r="C36" s="20" t="s">
        <v>71</v>
      </c>
      <c r="D36" s="20" t="s">
        <v>71</v>
      </c>
      <c r="E36" s="20" t="s">
        <v>71</v>
      </c>
      <c r="F36" s="20" t="s">
        <v>71</v>
      </c>
      <c r="G36" s="20" t="s">
        <v>71</v>
      </c>
      <c r="H36" s="20" t="s">
        <v>71</v>
      </c>
      <c r="I36" s="20" t="s">
        <v>71</v>
      </c>
    </row>
    <row r="37" spans="1:9">
      <c r="A37" t="s">
        <v>259</v>
      </c>
      <c r="B37" s="20">
        <v>0</v>
      </c>
      <c r="C37" s="20">
        <v>0</v>
      </c>
      <c r="D37" s="20">
        <v>0</v>
      </c>
      <c r="E37" s="20">
        <v>0</v>
      </c>
      <c r="F37" s="20">
        <v>0</v>
      </c>
      <c r="G37" s="20">
        <v>0</v>
      </c>
      <c r="H37">
        <v>0</v>
      </c>
      <c r="I37">
        <v>0</v>
      </c>
    </row>
    <row r="38" spans="1:9">
      <c r="A38" t="s">
        <v>260</v>
      </c>
      <c r="B38" s="20">
        <v>0</v>
      </c>
      <c r="C38" s="20">
        <v>0</v>
      </c>
      <c r="D38" s="20">
        <v>0</v>
      </c>
      <c r="E38" s="20">
        <v>0</v>
      </c>
      <c r="F38" s="20">
        <v>0</v>
      </c>
      <c r="G38" s="20">
        <v>0</v>
      </c>
      <c r="H38" s="20">
        <v>0</v>
      </c>
      <c r="I38" s="20">
        <v>0</v>
      </c>
    </row>
    <row r="39" spans="1:9">
      <c r="A39" t="s">
        <v>261</v>
      </c>
      <c r="B39" s="20">
        <v>0</v>
      </c>
      <c r="C39" s="20">
        <v>0</v>
      </c>
      <c r="D39" s="20">
        <v>3</v>
      </c>
      <c r="E39" s="20">
        <v>11</v>
      </c>
      <c r="F39" s="20">
        <v>0</v>
      </c>
      <c r="G39" s="20">
        <v>0</v>
      </c>
      <c r="H39" s="20">
        <v>12</v>
      </c>
      <c r="I39" s="20">
        <v>0</v>
      </c>
    </row>
    <row r="40" spans="1:9">
      <c r="A40" t="s">
        <v>262</v>
      </c>
      <c r="B40" s="20">
        <v>0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>
        <v>0</v>
      </c>
    </row>
    <row r="41" spans="1:9">
      <c r="A41" t="s">
        <v>263</v>
      </c>
      <c r="B41" s="20">
        <v>0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 t="s">
        <v>71</v>
      </c>
    </row>
    <row r="42" spans="1:9">
      <c r="A42" t="s">
        <v>264</v>
      </c>
      <c r="B42" s="20">
        <v>0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</row>
    <row r="43" spans="1:9">
      <c r="A43" t="s">
        <v>265</v>
      </c>
      <c r="B43" s="20">
        <v>0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 t="s">
        <v>71</v>
      </c>
    </row>
    <row r="44" spans="1:9">
      <c r="A44" t="s">
        <v>266</v>
      </c>
      <c r="B44" s="20">
        <v>0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0</v>
      </c>
    </row>
    <row r="45" spans="1:9">
      <c r="A45" t="s">
        <v>267</v>
      </c>
      <c r="B45" s="20">
        <v>1</v>
      </c>
      <c r="C45" s="20">
        <v>0</v>
      </c>
      <c r="D45" s="20">
        <v>2</v>
      </c>
      <c r="E45" s="20">
        <v>0</v>
      </c>
      <c r="F45" s="20">
        <v>0</v>
      </c>
      <c r="G45" s="20">
        <v>0</v>
      </c>
      <c r="H45" s="20">
        <v>1</v>
      </c>
      <c r="I45" s="20">
        <v>2</v>
      </c>
    </row>
    <row r="46" spans="1:9">
      <c r="A46" t="s">
        <v>268</v>
      </c>
      <c r="B46" s="20">
        <v>0</v>
      </c>
      <c r="C46" s="20">
        <v>0</v>
      </c>
      <c r="D46" s="20">
        <v>0</v>
      </c>
      <c r="E46" s="20">
        <v>0</v>
      </c>
      <c r="F46" s="20">
        <v>1</v>
      </c>
      <c r="G46" s="20">
        <v>0</v>
      </c>
      <c r="H46" s="20">
        <v>0</v>
      </c>
      <c r="I46" s="20">
        <v>0</v>
      </c>
    </row>
    <row r="47" spans="1:9">
      <c r="A47" t="s">
        <v>269</v>
      </c>
      <c r="B47" s="20">
        <v>0</v>
      </c>
      <c r="C47" s="20">
        <v>41</v>
      </c>
      <c r="D47" s="20">
        <v>27</v>
      </c>
      <c r="E47" s="20">
        <v>0</v>
      </c>
      <c r="F47" s="20">
        <v>0</v>
      </c>
      <c r="G47" s="20">
        <v>0</v>
      </c>
      <c r="H47" s="20">
        <v>10</v>
      </c>
      <c r="I47" s="20">
        <v>14</v>
      </c>
    </row>
    <row r="48" spans="1:9">
      <c r="A48" t="s">
        <v>270</v>
      </c>
      <c r="B48" s="20">
        <v>0</v>
      </c>
      <c r="C48" s="20">
        <v>0</v>
      </c>
      <c r="D48" s="20">
        <v>1</v>
      </c>
      <c r="E48" s="20">
        <v>0</v>
      </c>
      <c r="F48" s="20">
        <v>0</v>
      </c>
      <c r="G48" s="20">
        <v>1</v>
      </c>
      <c r="H48" s="20">
        <v>1</v>
      </c>
      <c r="I48" s="20">
        <v>0</v>
      </c>
    </row>
    <row r="49" spans="1:9">
      <c r="A49" t="s">
        <v>271</v>
      </c>
      <c r="B49" s="20">
        <v>0</v>
      </c>
      <c r="C49" s="20" t="s">
        <v>71</v>
      </c>
      <c r="D49" s="20" t="s">
        <v>71</v>
      </c>
      <c r="E49" s="20" t="s">
        <v>71</v>
      </c>
      <c r="F49" s="20" t="s">
        <v>71</v>
      </c>
      <c r="G49" s="20" t="s">
        <v>71</v>
      </c>
      <c r="H49" s="20" t="s">
        <v>71</v>
      </c>
      <c r="I49" s="20" t="s">
        <v>71</v>
      </c>
    </row>
    <row r="50" spans="1:9">
      <c r="A50" t="s">
        <v>272</v>
      </c>
      <c r="B50" s="20">
        <v>0</v>
      </c>
      <c r="C50" s="20" t="s">
        <v>71</v>
      </c>
      <c r="D50" s="20" t="s">
        <v>71</v>
      </c>
      <c r="E50" s="20" t="s">
        <v>71</v>
      </c>
      <c r="F50" s="20" t="s">
        <v>71</v>
      </c>
      <c r="G50" s="20" t="s">
        <v>71</v>
      </c>
      <c r="H50" s="20" t="s">
        <v>71</v>
      </c>
      <c r="I50" s="20" t="s">
        <v>71</v>
      </c>
    </row>
    <row r="51" spans="1:9">
      <c r="A51" t="s">
        <v>273</v>
      </c>
      <c r="B51" s="20">
        <v>0</v>
      </c>
      <c r="C51" s="20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</row>
    <row r="52" spans="1:9">
      <c r="A52" t="s">
        <v>274</v>
      </c>
      <c r="B52" s="20">
        <v>0</v>
      </c>
      <c r="C52" s="20">
        <v>0</v>
      </c>
      <c r="D52" s="20">
        <v>0</v>
      </c>
      <c r="E52" s="20">
        <v>1</v>
      </c>
      <c r="F52" s="20">
        <v>17</v>
      </c>
      <c r="G52" s="20">
        <v>6</v>
      </c>
      <c r="H52" s="20">
        <v>23</v>
      </c>
      <c r="I52" s="20">
        <v>86</v>
      </c>
    </row>
    <row r="53" spans="1:9">
      <c r="A53" t="s">
        <v>275</v>
      </c>
      <c r="B53" s="20">
        <v>0</v>
      </c>
      <c r="C53" s="20">
        <v>0</v>
      </c>
      <c r="D53" s="20">
        <v>0</v>
      </c>
      <c r="E53" s="20">
        <v>29</v>
      </c>
      <c r="F53" s="20">
        <v>92</v>
      </c>
      <c r="G53" s="20">
        <v>9</v>
      </c>
      <c r="H53" s="20">
        <v>0</v>
      </c>
      <c r="I53" s="20">
        <v>54</v>
      </c>
    </row>
    <row r="54" spans="1:9">
      <c r="A54" t="s">
        <v>276</v>
      </c>
      <c r="B54" s="20">
        <v>0</v>
      </c>
      <c r="C54">
        <v>0</v>
      </c>
      <c r="D54">
        <v>0</v>
      </c>
      <c r="E54">
        <v>0</v>
      </c>
      <c r="F54">
        <v>0</v>
      </c>
      <c r="G54">
        <v>0</v>
      </c>
      <c r="H54" s="20">
        <v>0</v>
      </c>
      <c r="I54" t="s">
        <v>71</v>
      </c>
    </row>
    <row r="55" spans="1:9">
      <c r="A55" t="s">
        <v>277</v>
      </c>
      <c r="B55" s="20">
        <v>-1</v>
      </c>
      <c r="C55" s="20">
        <v>-3</v>
      </c>
      <c r="D55" s="20">
        <v>-1</v>
      </c>
      <c r="E55" s="20">
        <v>-9</v>
      </c>
      <c r="F55" s="20">
        <v>-23</v>
      </c>
      <c r="G55" s="20">
        <v>-1</v>
      </c>
      <c r="H55" s="20">
        <v>-3</v>
      </c>
      <c r="I55" s="20">
        <v>-50</v>
      </c>
    </row>
    <row r="56" spans="1:9">
      <c r="A56" t="s">
        <v>278</v>
      </c>
      <c r="B56" s="20">
        <v>28</v>
      </c>
      <c r="C56" s="20">
        <v>-41</v>
      </c>
      <c r="D56" s="20">
        <v>270</v>
      </c>
      <c r="E56" s="20">
        <v>108</v>
      </c>
      <c r="F56" s="20">
        <v>-107</v>
      </c>
      <c r="G56" s="20">
        <v>13</v>
      </c>
      <c r="H56" s="20">
        <v>-25</v>
      </c>
      <c r="I56" s="20">
        <v>-199</v>
      </c>
    </row>
    <row r="57" spans="1:9">
      <c r="A57" t="s">
        <v>279</v>
      </c>
      <c r="B57" s="20">
        <v>29</v>
      </c>
      <c r="C57" s="20">
        <v>26</v>
      </c>
      <c r="D57" s="20">
        <v>34</v>
      </c>
      <c r="E57" s="20">
        <v>47</v>
      </c>
      <c r="F57" s="20">
        <v>57</v>
      </c>
      <c r="G57" s="20">
        <v>51</v>
      </c>
      <c r="H57" s="20">
        <v>52</v>
      </c>
      <c r="I57" s="20">
        <v>51</v>
      </c>
    </row>
    <row r="58" spans="1:9">
      <c r="A58" t="s">
        <v>280</v>
      </c>
      <c r="B58" s="20">
        <v>0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>
        <v>0</v>
      </c>
    </row>
    <row r="59" spans="1:9">
      <c r="A59" t="s">
        <v>281</v>
      </c>
      <c r="B59" s="20">
        <v>-2</v>
      </c>
      <c r="C59" s="20">
        <v>1</v>
      </c>
      <c r="D59" s="20">
        <v>1</v>
      </c>
      <c r="E59" s="20">
        <v>1</v>
      </c>
      <c r="F59" s="20">
        <v>1</v>
      </c>
      <c r="G59" s="20">
        <v>-1</v>
      </c>
      <c r="H59">
        <v>-2</v>
      </c>
      <c r="I59" s="20">
        <v>0</v>
      </c>
    </row>
    <row r="60" spans="1:9">
      <c r="A60" t="s">
        <v>282</v>
      </c>
      <c r="B60" s="20">
        <v>27</v>
      </c>
      <c r="C60" s="20">
        <v>26</v>
      </c>
      <c r="D60" s="20">
        <v>35</v>
      </c>
      <c r="E60" s="20">
        <v>48</v>
      </c>
      <c r="F60" s="20">
        <v>58</v>
      </c>
      <c r="G60" s="20">
        <v>50</v>
      </c>
      <c r="H60" s="20">
        <v>50</v>
      </c>
      <c r="I60" s="20">
        <v>51</v>
      </c>
    </row>
    <row r="61" spans="1:9">
      <c r="A61" t="s">
        <v>283</v>
      </c>
      <c r="B61" s="20">
        <v>-5</v>
      </c>
      <c r="C61" s="20">
        <v>4</v>
      </c>
      <c r="D61" s="20">
        <v>13</v>
      </c>
      <c r="E61" s="20">
        <v>26</v>
      </c>
      <c r="F61" s="20">
        <v>26</v>
      </c>
      <c r="G61" s="20">
        <v>31</v>
      </c>
      <c r="H61" s="20">
        <v>35</v>
      </c>
      <c r="I61" s="20">
        <v>18</v>
      </c>
    </row>
    <row r="62" spans="1:9">
      <c r="A62" t="s">
        <v>284</v>
      </c>
      <c r="B62" s="20">
        <v>0</v>
      </c>
      <c r="C62" s="20" t="s">
        <v>71</v>
      </c>
      <c r="D62" s="20" t="s">
        <v>71</v>
      </c>
      <c r="E62" t="s">
        <v>71</v>
      </c>
      <c r="F62" s="20" t="s">
        <v>71</v>
      </c>
      <c r="G62" t="s">
        <v>71</v>
      </c>
      <c r="H62" s="20" t="s">
        <v>71</v>
      </c>
      <c r="I62" t="s">
        <v>71</v>
      </c>
    </row>
    <row r="63" spans="1:9">
      <c r="A63" t="s">
        <v>285</v>
      </c>
      <c r="B63" s="20">
        <v>0</v>
      </c>
      <c r="C63" t="s">
        <v>71</v>
      </c>
      <c r="D63" t="s">
        <v>71</v>
      </c>
      <c r="E63" t="s">
        <v>71</v>
      </c>
      <c r="F63" t="s">
        <v>71</v>
      </c>
      <c r="G63" t="s">
        <v>71</v>
      </c>
      <c r="H63" t="s">
        <v>71</v>
      </c>
      <c r="I63" t="s">
        <v>71</v>
      </c>
    </row>
    <row r="64" spans="1:9">
      <c r="A64" t="s">
        <v>286</v>
      </c>
      <c r="B64" s="20">
        <v>0</v>
      </c>
      <c r="C64" t="s">
        <v>71</v>
      </c>
      <c r="D64" t="s">
        <v>71</v>
      </c>
      <c r="E64" t="s">
        <v>71</v>
      </c>
      <c r="F64" t="s">
        <v>71</v>
      </c>
      <c r="G64" s="20" t="s">
        <v>71</v>
      </c>
      <c r="H64" s="20" t="s">
        <v>71</v>
      </c>
      <c r="I64" t="s">
        <v>71</v>
      </c>
    </row>
    <row r="65" spans="1:9">
      <c r="A65" t="s">
        <v>287</v>
      </c>
      <c r="B65" s="20">
        <v>0</v>
      </c>
      <c r="C65" s="20">
        <v>0</v>
      </c>
      <c r="D65" s="20">
        <v>0</v>
      </c>
      <c r="E65" s="20">
        <v>0</v>
      </c>
      <c r="F65" s="20">
        <v>0</v>
      </c>
      <c r="G65" s="20">
        <v>0</v>
      </c>
      <c r="H65" s="20">
        <v>0</v>
      </c>
      <c r="I65" s="20">
        <v>0</v>
      </c>
    </row>
    <row r="66" spans="1:9">
      <c r="A66" t="s">
        <v>288</v>
      </c>
      <c r="B66" s="20">
        <v>42</v>
      </c>
      <c r="C66" s="20">
        <v>29</v>
      </c>
      <c r="D66" s="20">
        <v>300</v>
      </c>
      <c r="E66" s="20">
        <v>144</v>
      </c>
      <c r="F66" s="20">
        <v>-79</v>
      </c>
      <c r="G66" s="20">
        <v>31</v>
      </c>
      <c r="H66" s="20">
        <v>16</v>
      </c>
      <c r="I66" s="20">
        <v>-84</v>
      </c>
    </row>
    <row r="67" spans="1:9">
      <c r="A67" t="s">
        <v>289</v>
      </c>
      <c r="B67" s="20">
        <v>780</v>
      </c>
      <c r="C67" s="20">
        <v>813</v>
      </c>
      <c r="D67" s="20">
        <v>982</v>
      </c>
      <c r="E67" s="20">
        <v>709</v>
      </c>
      <c r="F67" s="20">
        <v>668</v>
      </c>
      <c r="G67" s="20">
        <v>518</v>
      </c>
      <c r="H67" s="20">
        <v>423</v>
      </c>
      <c r="I67" s="20">
        <v>533</v>
      </c>
    </row>
    <row r="68" spans="1:9">
      <c r="A68" t="s">
        <v>290</v>
      </c>
      <c r="B68" s="20">
        <v>127</v>
      </c>
      <c r="C68" s="20">
        <v>141</v>
      </c>
      <c r="D68" s="20">
        <v>127</v>
      </c>
      <c r="E68" s="20">
        <v>136</v>
      </c>
      <c r="F68" s="20">
        <v>106</v>
      </c>
      <c r="G68" s="20">
        <v>98</v>
      </c>
      <c r="H68" s="20">
        <v>82</v>
      </c>
      <c r="I68" s="20">
        <v>80</v>
      </c>
    </row>
    <row r="69" spans="1:9">
      <c r="A69" t="s">
        <v>291</v>
      </c>
      <c r="B69" s="20">
        <v>653</v>
      </c>
      <c r="C69" s="20">
        <v>672</v>
      </c>
      <c r="D69" s="20">
        <v>855</v>
      </c>
      <c r="E69" s="20">
        <v>573</v>
      </c>
      <c r="F69" s="20">
        <v>562</v>
      </c>
      <c r="G69" s="20">
        <v>420</v>
      </c>
      <c r="H69" s="20">
        <v>341</v>
      </c>
      <c r="I69" s="20">
        <v>453</v>
      </c>
    </row>
    <row r="70" spans="1:9">
      <c r="A70" t="s">
        <v>292</v>
      </c>
      <c r="B70" s="20">
        <v>0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>
        <v>0</v>
      </c>
    </row>
    <row r="71" spans="1:9">
      <c r="A71" t="s">
        <v>293</v>
      </c>
      <c r="B71" s="20">
        <v>0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>
        <v>0</v>
      </c>
    </row>
    <row r="72" spans="1:9">
      <c r="A72" t="s">
        <v>294</v>
      </c>
      <c r="B72" s="20">
        <v>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0</v>
      </c>
    </row>
    <row r="73" spans="1:9">
      <c r="A73" t="s">
        <v>295</v>
      </c>
      <c r="B73" s="20">
        <v>653</v>
      </c>
      <c r="C73" s="20">
        <v>672</v>
      </c>
      <c r="D73" s="20">
        <v>855</v>
      </c>
      <c r="E73" s="20">
        <v>573</v>
      </c>
      <c r="F73" s="20">
        <v>562</v>
      </c>
      <c r="G73" s="20">
        <v>420</v>
      </c>
      <c r="H73" s="20">
        <v>341</v>
      </c>
      <c r="I73" s="20">
        <v>453</v>
      </c>
    </row>
    <row r="74" spans="1:9">
      <c r="A74" t="s">
        <v>296</v>
      </c>
      <c r="B74" s="20">
        <v>-6</v>
      </c>
      <c r="C74" s="20">
        <v>-49</v>
      </c>
      <c r="D74" s="20">
        <v>-40</v>
      </c>
      <c r="E74" s="20">
        <v>16</v>
      </c>
      <c r="F74" s="20">
        <v>12</v>
      </c>
      <c r="G74" s="20">
        <v>-3</v>
      </c>
      <c r="H74" s="20">
        <v>-59</v>
      </c>
      <c r="I74" t="s">
        <v>71</v>
      </c>
    </row>
    <row r="75" spans="1:9">
      <c r="A75" t="s">
        <v>297</v>
      </c>
      <c r="B75" s="20">
        <v>0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t="s">
        <v>71</v>
      </c>
    </row>
    <row r="76" spans="1:9">
      <c r="A76" t="s">
        <v>298</v>
      </c>
      <c r="B76">
        <v>0</v>
      </c>
      <c r="C76">
        <v>0</v>
      </c>
      <c r="D76">
        <v>0</v>
      </c>
      <c r="E76">
        <v>0</v>
      </c>
      <c r="F76">
        <v>0</v>
      </c>
      <c r="G76" t="s">
        <v>71</v>
      </c>
      <c r="H76" t="s">
        <v>71</v>
      </c>
      <c r="I76" t="s">
        <v>71</v>
      </c>
    </row>
    <row r="77" spans="1:9">
      <c r="A77" t="s">
        <v>299</v>
      </c>
      <c r="B77" s="20">
        <v>0</v>
      </c>
      <c r="C77" s="20">
        <v>0</v>
      </c>
      <c r="D77" s="20">
        <v>0</v>
      </c>
      <c r="E77" s="20">
        <v>0</v>
      </c>
      <c r="F77" s="20">
        <v>0</v>
      </c>
      <c r="G77" s="20" t="s">
        <v>71</v>
      </c>
      <c r="H77" s="20" t="s">
        <v>71</v>
      </c>
      <c r="I77" t="s">
        <v>71</v>
      </c>
    </row>
    <row r="78" spans="1:9">
      <c r="A78" t="s">
        <v>300</v>
      </c>
      <c r="B78" s="20">
        <v>291</v>
      </c>
      <c r="C78" s="20">
        <v>0</v>
      </c>
      <c r="D78" s="20">
        <v>0</v>
      </c>
      <c r="E78" s="20">
        <v>0</v>
      </c>
      <c r="F78" s="20">
        <v>0</v>
      </c>
      <c r="G78" s="20">
        <v>0</v>
      </c>
      <c r="H78" s="20">
        <v>0</v>
      </c>
      <c r="I78" s="20" t="s">
        <v>71</v>
      </c>
    </row>
    <row r="79" spans="1:9">
      <c r="A79" t="s">
        <v>301</v>
      </c>
      <c r="B79" s="20">
        <v>0</v>
      </c>
      <c r="C79" s="20" t="s">
        <v>71</v>
      </c>
      <c r="D79" s="20" t="s">
        <v>71</v>
      </c>
      <c r="E79" s="20" t="s">
        <v>71</v>
      </c>
      <c r="F79" s="20" t="s">
        <v>71</v>
      </c>
      <c r="G79" s="20" t="s">
        <v>71</v>
      </c>
      <c r="H79" s="20" t="s">
        <v>71</v>
      </c>
      <c r="I79" s="20" t="s">
        <v>71</v>
      </c>
    </row>
    <row r="80" spans="1:9">
      <c r="A80" t="s">
        <v>302</v>
      </c>
      <c r="B80" s="20">
        <v>0</v>
      </c>
      <c r="C80" s="20">
        <v>0</v>
      </c>
      <c r="D80" s="20">
        <v>0</v>
      </c>
      <c r="E80" s="20">
        <v>0</v>
      </c>
      <c r="F80" s="20">
        <v>0</v>
      </c>
      <c r="G80" s="20">
        <v>1</v>
      </c>
      <c r="H80" s="20">
        <v>-1</v>
      </c>
      <c r="I80" s="20" t="s">
        <v>71</v>
      </c>
    </row>
    <row r="81" spans="1:9">
      <c r="A81" t="s">
        <v>303</v>
      </c>
      <c r="B81" s="20">
        <v>0</v>
      </c>
      <c r="C81" s="20">
        <v>0</v>
      </c>
      <c r="D81" s="20">
        <v>0</v>
      </c>
      <c r="E81" s="20">
        <v>0</v>
      </c>
      <c r="F81" s="20">
        <v>0</v>
      </c>
      <c r="G81" s="20">
        <v>0</v>
      </c>
      <c r="H81" s="20">
        <v>0</v>
      </c>
      <c r="I81" s="20" t="s">
        <v>71</v>
      </c>
    </row>
    <row r="82" spans="1:9">
      <c r="A82" t="s">
        <v>304</v>
      </c>
      <c r="B82" s="20">
        <v>21</v>
      </c>
      <c r="C82" s="20">
        <v>-8</v>
      </c>
      <c r="D82" s="20">
        <v>-7</v>
      </c>
      <c r="E82" s="20">
        <v>3</v>
      </c>
      <c r="F82" s="20">
        <v>2</v>
      </c>
      <c r="G82" s="20">
        <v>-1</v>
      </c>
      <c r="H82" s="20">
        <v>-10</v>
      </c>
      <c r="I82" s="20" t="s">
        <v>71</v>
      </c>
    </row>
    <row r="83" spans="1:9">
      <c r="A83" t="s">
        <v>305</v>
      </c>
      <c r="B83" s="20">
        <v>264</v>
      </c>
      <c r="C83" s="20">
        <v>-41</v>
      </c>
      <c r="D83" s="20">
        <v>-33</v>
      </c>
      <c r="E83" s="20">
        <v>14</v>
      </c>
      <c r="F83" s="20">
        <v>10</v>
      </c>
      <c r="G83" s="20">
        <v>54</v>
      </c>
      <c r="H83" s="20">
        <v>-65</v>
      </c>
      <c r="I83" t="s">
        <v>71</v>
      </c>
    </row>
    <row r="84" spans="1:9">
      <c r="A84" t="s">
        <v>306</v>
      </c>
      <c r="B84" s="20">
        <v>0</v>
      </c>
      <c r="C84" s="20">
        <v>-1</v>
      </c>
      <c r="D84" s="20">
        <v>-1</v>
      </c>
      <c r="E84" s="20">
        <v>-37</v>
      </c>
      <c r="F84" s="20">
        <v>25</v>
      </c>
      <c r="G84" s="20">
        <v>45</v>
      </c>
      <c r="H84" s="20">
        <v>-28</v>
      </c>
      <c r="I84" s="20" t="s">
        <v>71</v>
      </c>
    </row>
    <row r="85" spans="1:9">
      <c r="A85" t="s">
        <v>307</v>
      </c>
      <c r="B85" s="20">
        <v>0</v>
      </c>
      <c r="C85" s="20">
        <v>0</v>
      </c>
      <c r="D85" s="20">
        <v>0</v>
      </c>
      <c r="E85" s="20">
        <v>0</v>
      </c>
      <c r="F85" s="20">
        <v>0</v>
      </c>
      <c r="G85" s="20" t="s">
        <v>71</v>
      </c>
      <c r="H85" s="20" t="s">
        <v>71</v>
      </c>
      <c r="I85" s="20" t="s">
        <v>71</v>
      </c>
    </row>
    <row r="86" spans="1:9">
      <c r="A86" t="s">
        <v>308</v>
      </c>
      <c r="B86" s="20">
        <v>0</v>
      </c>
      <c r="C86" s="20">
        <v>309</v>
      </c>
      <c r="D86" s="20">
        <v>-68</v>
      </c>
      <c r="E86" s="20">
        <v>8</v>
      </c>
      <c r="F86" s="20">
        <v>32</v>
      </c>
      <c r="G86" s="20">
        <v>10</v>
      </c>
      <c r="H86" s="20">
        <v>13</v>
      </c>
      <c r="I86" s="20" t="s">
        <v>71</v>
      </c>
    </row>
    <row r="87" spans="1:9">
      <c r="A87" t="s">
        <v>309</v>
      </c>
      <c r="B87" s="20">
        <v>0</v>
      </c>
      <c r="C87" s="20">
        <v>0</v>
      </c>
      <c r="D87" s="20">
        <v>0</v>
      </c>
      <c r="E87" s="20">
        <v>0</v>
      </c>
      <c r="F87" s="20">
        <v>0</v>
      </c>
      <c r="G87" s="20">
        <v>0</v>
      </c>
      <c r="H87" s="20">
        <v>0</v>
      </c>
      <c r="I87" s="20" t="s">
        <v>71</v>
      </c>
    </row>
    <row r="88" spans="1:9">
      <c r="A88" t="s">
        <v>310</v>
      </c>
      <c r="B88" s="20">
        <v>0</v>
      </c>
      <c r="C88" s="20">
        <v>0</v>
      </c>
      <c r="D88" s="20">
        <v>0</v>
      </c>
      <c r="E88" s="20">
        <v>0</v>
      </c>
      <c r="F88" s="20">
        <v>0</v>
      </c>
      <c r="G88" s="20" t="s">
        <v>71</v>
      </c>
      <c r="H88" s="20" t="s">
        <v>71</v>
      </c>
      <c r="I88" s="20" t="s">
        <v>71</v>
      </c>
    </row>
    <row r="89" spans="1:9">
      <c r="A89" t="s">
        <v>311</v>
      </c>
      <c r="B89" s="20">
        <v>0</v>
      </c>
      <c r="C89" s="20">
        <v>0</v>
      </c>
      <c r="D89" s="20">
        <v>0</v>
      </c>
      <c r="E89" s="20">
        <v>0</v>
      </c>
      <c r="F89" s="20">
        <v>0</v>
      </c>
      <c r="G89" s="20" t="s">
        <v>71</v>
      </c>
      <c r="H89" s="20" t="s">
        <v>71</v>
      </c>
      <c r="I89" s="20" t="s">
        <v>71</v>
      </c>
    </row>
    <row r="90" spans="1:9">
      <c r="A90" t="s">
        <v>312</v>
      </c>
      <c r="B90" s="20">
        <v>0</v>
      </c>
      <c r="C90" s="20">
        <v>37</v>
      </c>
      <c r="D90" s="20">
        <v>6</v>
      </c>
      <c r="E90" s="20">
        <v>0</v>
      </c>
      <c r="F90" s="20">
        <v>0</v>
      </c>
      <c r="G90" s="20" t="s">
        <v>71</v>
      </c>
      <c r="H90" s="20" t="s">
        <v>71</v>
      </c>
      <c r="I90" s="20" t="s">
        <v>71</v>
      </c>
    </row>
    <row r="91" spans="1:9">
      <c r="A91" t="s">
        <v>313</v>
      </c>
      <c r="B91" s="20">
        <v>0</v>
      </c>
      <c r="C91" s="20">
        <v>271</v>
      </c>
      <c r="D91" s="20">
        <v>-76</v>
      </c>
      <c r="E91" s="20">
        <v>-29</v>
      </c>
      <c r="F91" s="20">
        <v>58</v>
      </c>
      <c r="G91" s="20" t="s">
        <v>71</v>
      </c>
      <c r="H91" s="20" t="s">
        <v>71</v>
      </c>
      <c r="I91" s="20" t="s">
        <v>71</v>
      </c>
    </row>
    <row r="92" spans="1:9">
      <c r="A92" t="s">
        <v>314</v>
      </c>
      <c r="B92" s="20">
        <v>0</v>
      </c>
      <c r="C92" s="20">
        <v>0</v>
      </c>
      <c r="D92" s="20">
        <v>0</v>
      </c>
      <c r="E92" s="20">
        <v>0</v>
      </c>
      <c r="F92" s="20">
        <v>0</v>
      </c>
      <c r="G92" s="20" t="s">
        <v>71</v>
      </c>
      <c r="H92" s="20" t="s">
        <v>71</v>
      </c>
      <c r="I92" s="20" t="s">
        <v>71</v>
      </c>
    </row>
    <row r="93" spans="1:9">
      <c r="A93" t="s">
        <v>315</v>
      </c>
      <c r="B93" s="20">
        <v>265</v>
      </c>
      <c r="C93" s="20">
        <v>231</v>
      </c>
      <c r="D93" s="20">
        <v>-109</v>
      </c>
      <c r="E93" s="20">
        <v>-16</v>
      </c>
      <c r="F93" s="20">
        <v>67</v>
      </c>
      <c r="G93" s="20">
        <v>54</v>
      </c>
      <c r="H93" s="20">
        <v>-65</v>
      </c>
      <c r="I93" s="20" t="s">
        <v>71</v>
      </c>
    </row>
    <row r="94" spans="1:9">
      <c r="A94" t="s">
        <v>316</v>
      </c>
      <c r="B94" s="20">
        <v>918</v>
      </c>
      <c r="C94" s="20">
        <v>903</v>
      </c>
      <c r="D94" s="20">
        <v>746</v>
      </c>
      <c r="E94" s="20">
        <v>558</v>
      </c>
      <c r="F94" s="20">
        <v>629</v>
      </c>
      <c r="G94" s="20">
        <v>474</v>
      </c>
      <c r="H94" s="20">
        <v>276</v>
      </c>
      <c r="I94" s="20" t="s">
        <v>71</v>
      </c>
    </row>
    <row r="95" spans="1:9">
      <c r="A95" t="s">
        <v>317</v>
      </c>
      <c r="B95" s="20">
        <v>653</v>
      </c>
      <c r="C95" s="20">
        <v>672</v>
      </c>
      <c r="D95" s="20">
        <v>855</v>
      </c>
      <c r="E95" s="20">
        <v>573</v>
      </c>
      <c r="F95" s="20">
        <v>562</v>
      </c>
      <c r="G95" s="20">
        <v>420</v>
      </c>
      <c r="H95" s="20">
        <v>341</v>
      </c>
      <c r="I95" s="20">
        <v>453</v>
      </c>
    </row>
    <row r="96" spans="1:9">
      <c r="A96" t="s">
        <v>318</v>
      </c>
      <c r="B96" s="20">
        <v>0</v>
      </c>
      <c r="C96" s="20">
        <v>0</v>
      </c>
      <c r="D96" s="20">
        <v>0</v>
      </c>
      <c r="E96" s="20">
        <v>0</v>
      </c>
      <c r="F96" s="20">
        <v>0</v>
      </c>
      <c r="G96" s="20">
        <v>0</v>
      </c>
      <c r="H96" s="20">
        <v>0</v>
      </c>
      <c r="I96" s="20">
        <v>0</v>
      </c>
    </row>
    <row r="97" spans="1:9">
      <c r="A97" t="s">
        <v>319</v>
      </c>
      <c r="B97" s="20">
        <v>0</v>
      </c>
      <c r="C97" s="20">
        <v>0</v>
      </c>
      <c r="D97" s="20">
        <v>0</v>
      </c>
      <c r="E97" s="20">
        <v>0</v>
      </c>
      <c r="F97" s="20">
        <v>0</v>
      </c>
      <c r="G97" s="20">
        <v>0</v>
      </c>
      <c r="H97" s="20">
        <v>0</v>
      </c>
      <c r="I97" s="20">
        <v>0</v>
      </c>
    </row>
    <row r="98" spans="1:9">
      <c r="A98" t="s">
        <v>320</v>
      </c>
      <c r="B98" s="20">
        <v>918</v>
      </c>
      <c r="C98" s="20">
        <v>903</v>
      </c>
      <c r="D98" s="20">
        <v>746</v>
      </c>
      <c r="E98" s="20">
        <v>558</v>
      </c>
      <c r="F98" s="20">
        <v>629</v>
      </c>
      <c r="G98" s="20">
        <v>474</v>
      </c>
      <c r="H98" s="20">
        <v>276</v>
      </c>
      <c r="I98" s="20" t="s">
        <v>71</v>
      </c>
    </row>
    <row r="99" spans="1:9">
      <c r="A99" t="s">
        <v>321</v>
      </c>
      <c r="B99" s="20">
        <v>0</v>
      </c>
      <c r="C99" s="20">
        <v>0</v>
      </c>
      <c r="D99" s="20">
        <v>0</v>
      </c>
      <c r="E99" s="20">
        <v>0</v>
      </c>
      <c r="F99" s="20">
        <v>0</v>
      </c>
      <c r="G99" s="20">
        <v>0</v>
      </c>
      <c r="H99" s="20">
        <v>0</v>
      </c>
      <c r="I99" s="20" t="s">
        <v>71</v>
      </c>
    </row>
    <row r="100" spans="1:9">
      <c r="A100" t="s">
        <v>322</v>
      </c>
      <c r="B100" s="20">
        <v>0</v>
      </c>
      <c r="C100" s="20">
        <v>0</v>
      </c>
      <c r="D100" s="20">
        <v>0</v>
      </c>
      <c r="E100" s="20">
        <v>0</v>
      </c>
      <c r="F100" s="20">
        <v>0</v>
      </c>
      <c r="G100" s="20">
        <v>0</v>
      </c>
      <c r="H100" s="20">
        <v>0</v>
      </c>
      <c r="I100" s="20" t="s">
        <v>71</v>
      </c>
    </row>
    <row r="101" spans="1:9">
      <c r="A101" t="s">
        <v>323</v>
      </c>
      <c r="B101" s="20">
        <v>1.47</v>
      </c>
      <c r="C101" s="20">
        <v>1.33</v>
      </c>
      <c r="D101" s="20">
        <v>1.57</v>
      </c>
      <c r="E101" s="20">
        <v>1.05</v>
      </c>
      <c r="F101" s="20">
        <v>1.03</v>
      </c>
      <c r="G101" s="20">
        <v>0.77</v>
      </c>
      <c r="H101" s="20">
        <v>0.63</v>
      </c>
      <c r="I101" s="20">
        <v>0.83</v>
      </c>
    </row>
    <row r="102" spans="1:9">
      <c r="A102" t="s">
        <v>324</v>
      </c>
      <c r="B102" s="20">
        <v>445</v>
      </c>
      <c r="C102" s="20">
        <v>507</v>
      </c>
      <c r="D102" s="20">
        <v>545</v>
      </c>
      <c r="E102" s="20">
        <v>545</v>
      </c>
      <c r="F102" s="20">
        <v>545</v>
      </c>
      <c r="G102" s="20">
        <v>545</v>
      </c>
      <c r="H102" s="20">
        <v>545</v>
      </c>
      <c r="I102" s="20">
        <v>548</v>
      </c>
    </row>
    <row r="103" spans="1:9">
      <c r="A103" t="s">
        <v>325</v>
      </c>
      <c r="B103" s="20">
        <v>0</v>
      </c>
      <c r="C103" s="20">
        <v>0</v>
      </c>
      <c r="D103" s="20">
        <v>0</v>
      </c>
      <c r="E103" s="20">
        <v>0</v>
      </c>
      <c r="F103" s="20">
        <v>0</v>
      </c>
      <c r="G103" s="20">
        <v>0</v>
      </c>
      <c r="H103" s="20">
        <v>0</v>
      </c>
      <c r="I103" s="20">
        <v>0</v>
      </c>
    </row>
    <row r="104" spans="1:9">
      <c r="A104" t="s">
        <v>326</v>
      </c>
      <c r="B104" s="20">
        <v>636</v>
      </c>
      <c r="C104" s="20">
        <v>669</v>
      </c>
      <c r="D104" s="20">
        <v>557</v>
      </c>
      <c r="E104" s="20">
        <v>470</v>
      </c>
      <c r="F104" s="20">
        <v>671</v>
      </c>
      <c r="G104" s="20">
        <v>429</v>
      </c>
      <c r="H104" s="20">
        <v>353</v>
      </c>
      <c r="I104" s="20">
        <v>588</v>
      </c>
    </row>
    <row r="105" spans="1:9">
      <c r="A105" t="s">
        <v>327</v>
      </c>
      <c r="B105" s="20">
        <v>0</v>
      </c>
      <c r="C105" s="20">
        <v>0</v>
      </c>
      <c r="D105" s="20">
        <v>0</v>
      </c>
      <c r="E105" s="20">
        <v>0</v>
      </c>
      <c r="F105" s="20">
        <v>0</v>
      </c>
      <c r="G105" s="20">
        <v>0</v>
      </c>
      <c r="H105" s="20">
        <v>0</v>
      </c>
      <c r="I105" s="20">
        <v>0</v>
      </c>
    </row>
    <row r="106" spans="1:9">
      <c r="A106" t="s">
        <v>328</v>
      </c>
      <c r="B106" s="20">
        <v>1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</row>
    <row r="107" spans="1:9">
      <c r="A107" t="s">
        <v>329</v>
      </c>
      <c r="B107" s="20">
        <v>1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</row>
    <row r="108" spans="1:9">
      <c r="A108" t="s">
        <v>330</v>
      </c>
      <c r="B108" s="20">
        <v>807</v>
      </c>
      <c r="C108" s="20">
        <v>839</v>
      </c>
      <c r="D108" s="20">
        <v>1016</v>
      </c>
      <c r="E108" s="20">
        <v>757</v>
      </c>
      <c r="F108" s="20">
        <v>726</v>
      </c>
      <c r="G108" s="20">
        <v>568</v>
      </c>
      <c r="H108" s="20">
        <v>473</v>
      </c>
      <c r="I108" s="20">
        <v>584</v>
      </c>
    </row>
    <row r="109" spans="1:9">
      <c r="A109" t="s">
        <v>331</v>
      </c>
      <c r="B109" s="20">
        <v>1252</v>
      </c>
      <c r="C109" s="20">
        <v>1257</v>
      </c>
      <c r="D109" s="20">
        <v>1416</v>
      </c>
      <c r="E109" s="20">
        <v>1169</v>
      </c>
      <c r="F109" s="20">
        <v>1166</v>
      </c>
      <c r="G109" s="20">
        <v>1029</v>
      </c>
      <c r="H109" s="20">
        <v>917</v>
      </c>
      <c r="I109" s="20">
        <v>1086</v>
      </c>
    </row>
    <row r="110" spans="1:9">
      <c r="A110" t="s">
        <v>332</v>
      </c>
      <c r="B110" s="20">
        <v>1.45</v>
      </c>
      <c r="C110" s="20">
        <v>1.29</v>
      </c>
      <c r="D110" s="20">
        <v>1.54</v>
      </c>
      <c r="E110" s="20">
        <v>1.03</v>
      </c>
      <c r="F110" s="20">
        <v>1.02</v>
      </c>
      <c r="G110" s="20">
        <v>0.76</v>
      </c>
      <c r="H110" s="20" t="s">
        <v>71</v>
      </c>
      <c r="I110" s="20">
        <v>0.82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99"/>
  <sheetViews>
    <sheetView workbookViewId="0"/>
  </sheetViews>
  <sheetFormatPr defaultRowHeight="16.5"/>
  <cols>
    <col min="1" max="1" width="61.625" customWidth="1"/>
    <col min="2" max="2" width="6" bestFit="1" customWidth="1"/>
    <col min="3" max="4" width="6.625" bestFit="1" customWidth="1"/>
    <col min="5" max="7" width="6" bestFit="1" customWidth="1"/>
    <col min="8" max="8" width="6.625" bestFit="1" customWidth="1"/>
    <col min="9" max="9" width="6" bestFit="1" customWidth="1"/>
  </cols>
  <sheetData>
    <row r="1" spans="1:9">
      <c r="A1" t="s">
        <v>370</v>
      </c>
    </row>
    <row r="2" spans="1:9">
      <c r="A2" t="s">
        <v>129</v>
      </c>
    </row>
    <row r="3" spans="1:9">
      <c r="A3" t="s">
        <v>130</v>
      </c>
      <c r="B3">
        <v>2018</v>
      </c>
      <c r="C3">
        <v>2017</v>
      </c>
      <c r="D3">
        <v>2016</v>
      </c>
      <c r="E3">
        <v>2015</v>
      </c>
      <c r="F3">
        <v>2014</v>
      </c>
      <c r="G3">
        <v>2013</v>
      </c>
      <c r="H3">
        <v>2012</v>
      </c>
      <c r="I3">
        <v>2011</v>
      </c>
    </row>
    <row r="4" spans="1:9">
      <c r="A4" t="s">
        <v>131</v>
      </c>
      <c r="B4" t="s">
        <v>346</v>
      </c>
      <c r="C4" t="s">
        <v>346</v>
      </c>
      <c r="D4" t="s">
        <v>346</v>
      </c>
      <c r="E4" t="s">
        <v>346</v>
      </c>
      <c r="F4" t="s">
        <v>346</v>
      </c>
      <c r="G4" t="s">
        <v>346</v>
      </c>
      <c r="H4" t="s">
        <v>346</v>
      </c>
      <c r="I4" t="s">
        <v>346</v>
      </c>
    </row>
    <row r="5" spans="1:9">
      <c r="A5" t="s">
        <v>132</v>
      </c>
      <c r="B5" s="20">
        <v>780</v>
      </c>
      <c r="C5" s="20">
        <v>813</v>
      </c>
      <c r="D5" s="20">
        <v>982</v>
      </c>
      <c r="E5" s="20">
        <v>709</v>
      </c>
      <c r="F5" s="20">
        <v>668</v>
      </c>
      <c r="G5" s="20">
        <v>518</v>
      </c>
      <c r="H5" s="20">
        <v>423</v>
      </c>
      <c r="I5" s="20">
        <v>533</v>
      </c>
    </row>
    <row r="6" spans="1:9">
      <c r="A6" t="s">
        <v>133</v>
      </c>
      <c r="B6" s="20">
        <v>433</v>
      </c>
      <c r="C6" s="20">
        <v>405</v>
      </c>
      <c r="D6" s="20">
        <v>387</v>
      </c>
      <c r="E6" s="20">
        <v>397</v>
      </c>
      <c r="F6" s="20">
        <v>428</v>
      </c>
      <c r="G6" s="20">
        <v>450</v>
      </c>
      <c r="H6" s="20">
        <v>431</v>
      </c>
      <c r="I6" s="20">
        <v>483</v>
      </c>
    </row>
    <row r="7" spans="1:9">
      <c r="A7" t="s">
        <v>134</v>
      </c>
      <c r="B7" s="20">
        <v>12</v>
      </c>
      <c r="C7" s="20">
        <v>13</v>
      </c>
      <c r="D7" s="20">
        <v>12</v>
      </c>
      <c r="E7" s="20">
        <v>14</v>
      </c>
      <c r="F7" s="20">
        <v>12</v>
      </c>
      <c r="G7" s="20">
        <v>10</v>
      </c>
      <c r="H7" s="20">
        <v>13</v>
      </c>
      <c r="I7" s="20">
        <v>19</v>
      </c>
    </row>
    <row r="8" spans="1:9">
      <c r="A8" t="s">
        <v>135</v>
      </c>
      <c r="B8" s="20">
        <v>-4</v>
      </c>
      <c r="C8" s="20">
        <v>-15</v>
      </c>
      <c r="D8" s="20">
        <v>27</v>
      </c>
      <c r="E8" s="20">
        <v>13</v>
      </c>
      <c r="F8" s="20">
        <v>-13</v>
      </c>
      <c r="G8" s="20">
        <v>30</v>
      </c>
      <c r="H8" s="20">
        <v>6</v>
      </c>
      <c r="I8" s="20">
        <v>-62</v>
      </c>
    </row>
    <row r="9" spans="1:9">
      <c r="A9" t="s">
        <v>136</v>
      </c>
      <c r="B9" s="20">
        <v>-16</v>
      </c>
      <c r="C9" s="20">
        <v>-1</v>
      </c>
      <c r="D9" s="20">
        <v>1</v>
      </c>
      <c r="E9" s="20">
        <v>-6</v>
      </c>
      <c r="F9" s="20">
        <v>-1</v>
      </c>
      <c r="G9" s="20">
        <v>1</v>
      </c>
      <c r="H9" s="20">
        <v>1</v>
      </c>
      <c r="I9" s="20">
        <v>-1</v>
      </c>
    </row>
    <row r="10" spans="1:9">
      <c r="A10" t="s">
        <v>137</v>
      </c>
      <c r="B10" s="20">
        <v>0</v>
      </c>
      <c r="C10" s="20" t="s">
        <v>71</v>
      </c>
      <c r="D10" s="20" t="s">
        <v>71</v>
      </c>
      <c r="E10" s="20" t="s">
        <v>71</v>
      </c>
      <c r="F10" s="20" t="s">
        <v>71</v>
      </c>
      <c r="G10" s="20" t="s">
        <v>71</v>
      </c>
      <c r="H10" s="20" t="s">
        <v>71</v>
      </c>
      <c r="I10" s="20" t="s">
        <v>71</v>
      </c>
    </row>
    <row r="11" spans="1:9">
      <c r="A11" t="s">
        <v>138</v>
      </c>
      <c r="B11">
        <v>0</v>
      </c>
      <c r="C11" s="20" t="s">
        <v>71</v>
      </c>
      <c r="D11" s="20" t="s">
        <v>71</v>
      </c>
      <c r="E11" s="20" t="s">
        <v>71</v>
      </c>
      <c r="F11" s="20" t="s">
        <v>71</v>
      </c>
      <c r="G11" s="20" t="s">
        <v>71</v>
      </c>
      <c r="H11" s="20" t="s">
        <v>71</v>
      </c>
      <c r="I11" s="20" t="s">
        <v>71</v>
      </c>
    </row>
    <row r="12" spans="1:9">
      <c r="A12" t="s">
        <v>139</v>
      </c>
      <c r="B12" s="20">
        <v>0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6</v>
      </c>
    </row>
    <row r="13" spans="1:9">
      <c r="A13" t="s">
        <v>140</v>
      </c>
      <c r="B13" s="20">
        <v>27</v>
      </c>
      <c r="C13" s="20">
        <v>25</v>
      </c>
      <c r="D13" s="20">
        <v>33</v>
      </c>
      <c r="E13" s="20">
        <v>46</v>
      </c>
      <c r="F13" s="20">
        <v>57</v>
      </c>
      <c r="G13" s="20">
        <v>48</v>
      </c>
      <c r="H13" s="20">
        <v>47</v>
      </c>
      <c r="I13" s="20">
        <v>48</v>
      </c>
    </row>
    <row r="14" spans="1:9">
      <c r="A14" t="s">
        <v>141</v>
      </c>
      <c r="B14" s="20">
        <v>0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</row>
    <row r="15" spans="1:9">
      <c r="A15" t="s">
        <v>142</v>
      </c>
      <c r="B15" s="20">
        <v>-14</v>
      </c>
      <c r="C15" s="20">
        <v>-13</v>
      </c>
      <c r="D15" s="20">
        <v>-17</v>
      </c>
      <c r="E15" s="20">
        <v>-26</v>
      </c>
      <c r="F15" s="20">
        <v>-24</v>
      </c>
      <c r="G15" s="20">
        <v>-20</v>
      </c>
      <c r="H15" s="20">
        <v>-25</v>
      </c>
      <c r="I15" s="20">
        <v>-43</v>
      </c>
    </row>
    <row r="16" spans="1:9">
      <c r="A16" t="s">
        <v>143</v>
      </c>
      <c r="B16" s="20">
        <v>-15</v>
      </c>
      <c r="C16" s="20">
        <v>-21</v>
      </c>
      <c r="D16" s="20">
        <v>-14</v>
      </c>
      <c r="E16" s="20">
        <v>-13</v>
      </c>
      <c r="F16" s="20">
        <v>-15</v>
      </c>
      <c r="G16" s="20">
        <v>-8</v>
      </c>
      <c r="H16" s="20">
        <v>-11</v>
      </c>
      <c r="I16">
        <v>0</v>
      </c>
    </row>
    <row r="17" spans="1:9">
      <c r="A17" t="s">
        <v>144</v>
      </c>
      <c r="B17" s="20">
        <v>0</v>
      </c>
      <c r="C17" s="20">
        <v>0</v>
      </c>
      <c r="D17" s="20">
        <v>0</v>
      </c>
      <c r="E17" s="20">
        <v>0</v>
      </c>
      <c r="F17" s="20">
        <v>5</v>
      </c>
      <c r="G17" s="20">
        <v>14</v>
      </c>
      <c r="H17" s="20">
        <v>41</v>
      </c>
      <c r="I17" s="20">
        <v>53</v>
      </c>
    </row>
    <row r="18" spans="1:9">
      <c r="A18" t="s">
        <v>145</v>
      </c>
      <c r="B18" s="20">
        <v>0</v>
      </c>
      <c r="C18" s="20">
        <v>-4</v>
      </c>
      <c r="D18" s="20">
        <v>-13</v>
      </c>
      <c r="E18" s="20">
        <v>-26</v>
      </c>
      <c r="F18" s="20">
        <v>-26</v>
      </c>
      <c r="G18" s="20">
        <v>-31</v>
      </c>
      <c r="H18" s="20">
        <v>-35</v>
      </c>
      <c r="I18" s="20">
        <v>-18</v>
      </c>
    </row>
    <row r="19" spans="1:9">
      <c r="A19" t="s">
        <v>146</v>
      </c>
      <c r="B19" s="20">
        <v>5</v>
      </c>
      <c r="C19" s="20">
        <v>0</v>
      </c>
      <c r="D19" s="20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</row>
    <row r="20" spans="1:9">
      <c r="A20" t="s">
        <v>147</v>
      </c>
      <c r="B20" s="20">
        <v>0</v>
      </c>
      <c r="C20" s="20">
        <v>0</v>
      </c>
      <c r="D20" s="20">
        <v>-149</v>
      </c>
      <c r="E20" s="20">
        <v>-27</v>
      </c>
      <c r="F20" s="20">
        <v>0</v>
      </c>
      <c r="G20" s="20">
        <v>-4</v>
      </c>
      <c r="H20" s="20">
        <v>0</v>
      </c>
      <c r="I20" s="20">
        <v>0</v>
      </c>
    </row>
    <row r="21" spans="1:9">
      <c r="A21" t="s">
        <v>148</v>
      </c>
      <c r="B21" s="20">
        <v>1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1</v>
      </c>
      <c r="I21">
        <v>2</v>
      </c>
    </row>
    <row r="22" spans="1:9">
      <c r="A22" t="s">
        <v>149</v>
      </c>
      <c r="B22" s="20">
        <v>0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t="s">
        <v>71</v>
      </c>
    </row>
    <row r="23" spans="1:9">
      <c r="A23" t="s">
        <v>150</v>
      </c>
      <c r="B23" s="20">
        <v>0</v>
      </c>
      <c r="C23" s="20">
        <v>0</v>
      </c>
      <c r="D23" s="20">
        <v>0</v>
      </c>
      <c r="E23" s="20">
        <v>0</v>
      </c>
      <c r="F23">
        <v>0</v>
      </c>
      <c r="G23" s="20">
        <v>0</v>
      </c>
      <c r="H23">
        <v>0</v>
      </c>
      <c r="I23" t="s">
        <v>71</v>
      </c>
    </row>
    <row r="24" spans="1:9">
      <c r="A24" t="s">
        <v>151</v>
      </c>
      <c r="B24" s="20">
        <v>0</v>
      </c>
      <c r="C24" s="20">
        <v>0</v>
      </c>
      <c r="D24" s="20">
        <v>0</v>
      </c>
      <c r="E24" s="20">
        <v>0</v>
      </c>
      <c r="F24" s="20">
        <v>1</v>
      </c>
      <c r="G24" s="20">
        <v>0</v>
      </c>
      <c r="H24">
        <v>0</v>
      </c>
      <c r="I24" s="20">
        <v>0</v>
      </c>
    </row>
    <row r="25" spans="1:9">
      <c r="A25" t="s">
        <v>152</v>
      </c>
      <c r="B25" s="20">
        <v>-1</v>
      </c>
      <c r="C25" s="20">
        <v>-3</v>
      </c>
      <c r="D25" s="20">
        <v>-147</v>
      </c>
      <c r="E25" s="20">
        <v>-90</v>
      </c>
      <c r="F25" s="20">
        <v>0</v>
      </c>
      <c r="G25" s="20">
        <v>-2</v>
      </c>
      <c r="H25" s="20">
        <v>-2</v>
      </c>
      <c r="I25" s="20">
        <v>-8</v>
      </c>
    </row>
    <row r="26" spans="1:9">
      <c r="A26" t="s">
        <v>153</v>
      </c>
      <c r="B26">
        <v>0</v>
      </c>
      <c r="C26" s="20">
        <v>0</v>
      </c>
      <c r="D26" s="20">
        <v>0</v>
      </c>
      <c r="E26" s="20">
        <v>1</v>
      </c>
      <c r="F26" s="20">
        <v>17</v>
      </c>
      <c r="G26" s="20">
        <v>6</v>
      </c>
      <c r="H26" s="20">
        <v>23</v>
      </c>
      <c r="I26" s="20">
        <v>86</v>
      </c>
    </row>
    <row r="27" spans="1:9">
      <c r="A27" t="s">
        <v>154</v>
      </c>
      <c r="B27">
        <v>0</v>
      </c>
      <c r="C27">
        <v>0</v>
      </c>
      <c r="D27">
        <v>0</v>
      </c>
      <c r="E27" s="20">
        <v>0</v>
      </c>
      <c r="F27" s="20">
        <v>0</v>
      </c>
      <c r="G27" s="20">
        <v>0</v>
      </c>
      <c r="H27">
        <v>0</v>
      </c>
      <c r="I27">
        <v>0</v>
      </c>
    </row>
    <row r="28" spans="1:9">
      <c r="A28" t="s">
        <v>155</v>
      </c>
      <c r="B28" s="20">
        <v>0</v>
      </c>
      <c r="C28" s="20">
        <v>0</v>
      </c>
      <c r="D28" s="20">
        <v>0</v>
      </c>
      <c r="E28" s="20">
        <v>29</v>
      </c>
      <c r="F28" s="20">
        <v>92</v>
      </c>
      <c r="G28" s="20">
        <v>9</v>
      </c>
      <c r="H28" s="20">
        <v>0</v>
      </c>
      <c r="I28" s="20">
        <v>54</v>
      </c>
    </row>
    <row r="29" spans="1:9">
      <c r="A29" t="s">
        <v>156</v>
      </c>
      <c r="B29" s="20">
        <v>0</v>
      </c>
      <c r="C29">
        <v>0</v>
      </c>
      <c r="D29">
        <v>-3</v>
      </c>
      <c r="E29" s="20">
        <v>-11</v>
      </c>
      <c r="F29">
        <v>0</v>
      </c>
      <c r="G29">
        <v>0</v>
      </c>
      <c r="H29">
        <v>-12</v>
      </c>
      <c r="I29" s="20">
        <v>0</v>
      </c>
    </row>
    <row r="30" spans="1:9">
      <c r="A30" t="s">
        <v>157</v>
      </c>
      <c r="B30" s="20">
        <v>0</v>
      </c>
      <c r="C30" s="20">
        <v>0</v>
      </c>
      <c r="D30" s="20">
        <v>0</v>
      </c>
      <c r="E30" s="20">
        <v>0</v>
      </c>
      <c r="F30" s="20">
        <v>0</v>
      </c>
      <c r="G30" s="20">
        <v>0</v>
      </c>
      <c r="H30" s="20">
        <v>0</v>
      </c>
      <c r="I30" s="20" t="s">
        <v>71</v>
      </c>
    </row>
    <row r="31" spans="1:9">
      <c r="A31" t="s">
        <v>158</v>
      </c>
      <c r="B31" s="20">
        <v>0</v>
      </c>
      <c r="C31" s="20">
        <v>0</v>
      </c>
      <c r="D31" s="20">
        <v>0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</row>
    <row r="32" spans="1:9">
      <c r="A32" t="s">
        <v>159</v>
      </c>
      <c r="B32" s="20">
        <v>0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1:9">
      <c r="A33" t="s">
        <v>160</v>
      </c>
      <c r="B33" s="20">
        <v>81</v>
      </c>
      <c r="C33" s="20">
        <v>193</v>
      </c>
      <c r="D33" s="20">
        <v>136</v>
      </c>
      <c r="E33" s="20">
        <v>-160</v>
      </c>
      <c r="F33" s="20">
        <v>-240</v>
      </c>
      <c r="G33" s="20">
        <v>-221</v>
      </c>
      <c r="H33" s="20">
        <v>172</v>
      </c>
      <c r="I33" s="20">
        <v>131</v>
      </c>
    </row>
    <row r="34" spans="1:9">
      <c r="A34" t="s">
        <v>161</v>
      </c>
      <c r="B34" s="20">
        <v>0</v>
      </c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0">
        <v>0</v>
      </c>
    </row>
    <row r="35" spans="1:9">
      <c r="A35" t="s">
        <v>162</v>
      </c>
      <c r="B35" s="20">
        <v>0</v>
      </c>
      <c r="C35" s="20">
        <v>0</v>
      </c>
      <c r="D35" s="20">
        <v>0</v>
      </c>
      <c r="E35" s="20">
        <v>0</v>
      </c>
      <c r="F35" s="20">
        <v>0</v>
      </c>
      <c r="G35" s="20">
        <v>0</v>
      </c>
      <c r="H35" s="20">
        <v>0</v>
      </c>
      <c r="I35" s="20" t="s">
        <v>71</v>
      </c>
    </row>
    <row r="36" spans="1:9">
      <c r="A36" t="s">
        <v>163</v>
      </c>
      <c r="B36" s="20">
        <v>-97</v>
      </c>
      <c r="C36" s="20">
        <v>97</v>
      </c>
      <c r="D36" s="20">
        <v>-114</v>
      </c>
      <c r="E36" s="20">
        <v>234</v>
      </c>
      <c r="F36" s="20">
        <v>103</v>
      </c>
      <c r="G36" s="20">
        <v>142</v>
      </c>
      <c r="H36" s="20">
        <v>-219</v>
      </c>
      <c r="I36" s="20">
        <v>332</v>
      </c>
    </row>
    <row r="37" spans="1:9">
      <c r="A37" t="s">
        <v>164</v>
      </c>
      <c r="B37" s="20">
        <v>-1</v>
      </c>
      <c r="C37" s="20">
        <v>0</v>
      </c>
      <c r="D37" s="20">
        <v>20</v>
      </c>
      <c r="E37" s="20">
        <v>-3</v>
      </c>
      <c r="F37" s="20">
        <v>0</v>
      </c>
      <c r="G37" s="20">
        <v>-4</v>
      </c>
      <c r="H37" s="20">
        <v>25</v>
      </c>
      <c r="I37" s="20">
        <v>-32</v>
      </c>
    </row>
    <row r="38" spans="1:9">
      <c r="A38" t="s">
        <v>165</v>
      </c>
      <c r="B38" s="20">
        <v>-233</v>
      </c>
      <c r="C38" s="20">
        <v>264</v>
      </c>
      <c r="D38" s="20">
        <v>-217</v>
      </c>
      <c r="E38" s="20">
        <v>74</v>
      </c>
      <c r="F38" s="20">
        <v>-3</v>
      </c>
      <c r="G38" s="20">
        <v>52</v>
      </c>
      <c r="H38" s="20">
        <v>141</v>
      </c>
      <c r="I38" s="20">
        <v>71</v>
      </c>
    </row>
    <row r="39" spans="1:9">
      <c r="A39" t="s">
        <v>166</v>
      </c>
      <c r="B39" s="20">
        <v>29</v>
      </c>
      <c r="C39" s="20">
        <v>-21</v>
      </c>
      <c r="D39" s="20">
        <v>17</v>
      </c>
      <c r="E39" s="20">
        <v>-29</v>
      </c>
      <c r="F39" s="20">
        <v>-3</v>
      </c>
      <c r="G39" s="20">
        <v>-13</v>
      </c>
      <c r="H39" s="20">
        <v>14</v>
      </c>
      <c r="I39" s="20">
        <v>3</v>
      </c>
    </row>
    <row r="40" spans="1:9">
      <c r="A40" t="s">
        <v>167</v>
      </c>
      <c r="B40" s="20">
        <v>0</v>
      </c>
      <c r="C40" s="20">
        <v>0</v>
      </c>
      <c r="D40" s="20">
        <v>0</v>
      </c>
      <c r="E40" s="20">
        <v>0</v>
      </c>
      <c r="F40" s="20">
        <v>0</v>
      </c>
      <c r="G40" s="20">
        <v>0</v>
      </c>
      <c r="H40" s="20">
        <v>0</v>
      </c>
      <c r="I40" s="20" t="s">
        <v>71</v>
      </c>
    </row>
    <row r="41" spans="1:9">
      <c r="A41" t="s">
        <v>168</v>
      </c>
      <c r="B41" s="20">
        <v>0</v>
      </c>
      <c r="C41" s="20">
        <v>0</v>
      </c>
      <c r="D41" s="20">
        <v>0</v>
      </c>
      <c r="E41" s="20">
        <v>0</v>
      </c>
      <c r="F41" s="20">
        <v>0</v>
      </c>
      <c r="G41" s="20">
        <v>0</v>
      </c>
      <c r="H41" s="20">
        <v>0</v>
      </c>
      <c r="I41" s="20">
        <v>0</v>
      </c>
    </row>
    <row r="42" spans="1:9">
      <c r="A42" t="s">
        <v>169</v>
      </c>
      <c r="B42" s="20">
        <v>0</v>
      </c>
      <c r="C42" s="20">
        <v>0</v>
      </c>
      <c r="D42" s="20">
        <v>0</v>
      </c>
      <c r="E42" s="20">
        <v>0</v>
      </c>
      <c r="F42" s="20">
        <v>0</v>
      </c>
      <c r="G42" s="20">
        <v>0</v>
      </c>
      <c r="H42" s="20">
        <v>0</v>
      </c>
      <c r="I42" s="20">
        <v>0</v>
      </c>
    </row>
    <row r="43" spans="1:9">
      <c r="A43" t="s">
        <v>170</v>
      </c>
      <c r="B43" s="20">
        <v>0</v>
      </c>
      <c r="C43" s="20">
        <v>0</v>
      </c>
      <c r="D43" s="20">
        <v>0</v>
      </c>
      <c r="E43" s="20">
        <v>0</v>
      </c>
      <c r="F43" s="20">
        <v>0</v>
      </c>
      <c r="G43" s="20">
        <v>0</v>
      </c>
      <c r="H43" s="20">
        <v>0</v>
      </c>
      <c r="I43" s="20">
        <v>0</v>
      </c>
    </row>
    <row r="44" spans="1:9">
      <c r="A44" t="s">
        <v>171</v>
      </c>
      <c r="B44" s="20">
        <v>0</v>
      </c>
      <c r="C44" s="20">
        <v>0</v>
      </c>
      <c r="D44" s="20">
        <v>0</v>
      </c>
      <c r="E44" s="20">
        <v>0</v>
      </c>
      <c r="F44" s="20">
        <v>0</v>
      </c>
      <c r="G44" s="20">
        <v>0</v>
      </c>
      <c r="H44" s="20">
        <v>0</v>
      </c>
      <c r="I44" s="20">
        <v>3</v>
      </c>
    </row>
    <row r="45" spans="1:9">
      <c r="A45" t="s">
        <v>172</v>
      </c>
      <c r="B45" s="20">
        <v>-132</v>
      </c>
      <c r="C45" s="20">
        <v>-74</v>
      </c>
      <c r="D45" s="20">
        <v>-14</v>
      </c>
      <c r="E45" s="20">
        <v>-298</v>
      </c>
      <c r="F45" s="20">
        <v>-47</v>
      </c>
      <c r="G45" s="20">
        <v>-308</v>
      </c>
      <c r="H45" s="20">
        <v>197</v>
      </c>
      <c r="I45" s="20">
        <v>-500</v>
      </c>
    </row>
    <row r="46" spans="1:9">
      <c r="A46" t="s">
        <v>173</v>
      </c>
      <c r="B46" s="20">
        <v>63</v>
      </c>
      <c r="C46" s="20">
        <v>-6</v>
      </c>
      <c r="D46" s="20">
        <v>-9</v>
      </c>
      <c r="E46" s="20">
        <v>95</v>
      </c>
      <c r="F46" s="20">
        <v>26</v>
      </c>
      <c r="G46" s="20">
        <v>17</v>
      </c>
      <c r="H46" s="20">
        <v>-100</v>
      </c>
      <c r="I46" s="20">
        <v>12</v>
      </c>
    </row>
    <row r="47" spans="1:9">
      <c r="A47" t="s">
        <v>174</v>
      </c>
      <c r="B47" s="20">
        <v>0</v>
      </c>
      <c r="C47" s="20">
        <v>0</v>
      </c>
      <c r="D47" s="20">
        <v>0</v>
      </c>
      <c r="E47" s="20">
        <v>0</v>
      </c>
      <c r="F47" s="20">
        <v>0</v>
      </c>
      <c r="G47" s="20">
        <v>0</v>
      </c>
      <c r="H47" s="20">
        <v>0</v>
      </c>
      <c r="I47" s="20">
        <v>0</v>
      </c>
    </row>
    <row r="48" spans="1:9">
      <c r="A48" t="s">
        <v>175</v>
      </c>
      <c r="B48" s="20">
        <v>-14</v>
      </c>
      <c r="C48" s="20">
        <v>-5</v>
      </c>
      <c r="D48" s="20">
        <v>-4</v>
      </c>
      <c r="E48" s="20">
        <v>1</v>
      </c>
      <c r="F48" s="20">
        <v>-9</v>
      </c>
      <c r="G48" s="20">
        <v>4</v>
      </c>
      <c r="H48" s="20">
        <v>5</v>
      </c>
      <c r="I48" s="20" t="s">
        <v>71</v>
      </c>
    </row>
    <row r="49" spans="1:9">
      <c r="A49" t="s">
        <v>176</v>
      </c>
      <c r="B49" s="20">
        <v>0</v>
      </c>
      <c r="C49" s="20">
        <v>0</v>
      </c>
      <c r="D49" s="20">
        <v>0</v>
      </c>
      <c r="E49" s="20">
        <v>0</v>
      </c>
      <c r="F49" s="20">
        <v>2</v>
      </c>
      <c r="G49" s="20">
        <v>1</v>
      </c>
      <c r="H49" s="20">
        <v>0</v>
      </c>
      <c r="I49" s="20">
        <v>8</v>
      </c>
    </row>
    <row r="50" spans="1:9">
      <c r="A50" t="s">
        <v>177</v>
      </c>
      <c r="B50" s="20">
        <v>-8</v>
      </c>
      <c r="C50" s="20">
        <v>-89</v>
      </c>
      <c r="D50" s="20">
        <v>-64</v>
      </c>
      <c r="E50" s="20">
        <v>-52</v>
      </c>
      <c r="F50" s="20">
        <v>0</v>
      </c>
      <c r="G50" s="20">
        <v>0</v>
      </c>
      <c r="H50" s="20">
        <v>-3</v>
      </c>
      <c r="I50" s="20">
        <v>0</v>
      </c>
    </row>
    <row r="51" spans="1:9">
      <c r="A51" t="s">
        <v>178</v>
      </c>
      <c r="B51" s="20">
        <v>13</v>
      </c>
      <c r="C51" s="20">
        <v>13</v>
      </c>
      <c r="D51" s="20">
        <v>18</v>
      </c>
      <c r="E51" s="20">
        <v>27</v>
      </c>
      <c r="F51" s="20">
        <v>31</v>
      </c>
      <c r="G51" s="20">
        <v>17</v>
      </c>
      <c r="H51" s="20">
        <v>42</v>
      </c>
      <c r="I51" s="20" t="s">
        <v>71</v>
      </c>
    </row>
    <row r="52" spans="1:9">
      <c r="A52" t="s">
        <v>179</v>
      </c>
      <c r="B52" s="20">
        <v>15</v>
      </c>
      <c r="C52" s="20">
        <v>21</v>
      </c>
      <c r="D52" s="20">
        <v>52</v>
      </c>
      <c r="E52" s="20">
        <v>33</v>
      </c>
      <c r="F52" s="20">
        <v>45</v>
      </c>
      <c r="G52" s="20">
        <v>27</v>
      </c>
      <c r="H52" s="20">
        <v>27</v>
      </c>
      <c r="I52" s="20">
        <v>24</v>
      </c>
    </row>
    <row r="53" spans="1:9">
      <c r="A53" t="s">
        <v>180</v>
      </c>
      <c r="B53" s="20">
        <v>-27</v>
      </c>
      <c r="C53" s="20">
        <v>-24</v>
      </c>
      <c r="D53" s="20">
        <v>-35</v>
      </c>
      <c r="E53" s="20">
        <v>-46</v>
      </c>
      <c r="F53" s="20">
        <v>-57</v>
      </c>
      <c r="G53" s="20">
        <v>-47</v>
      </c>
      <c r="H53" s="20">
        <v>-48</v>
      </c>
      <c r="I53" s="20">
        <v>0</v>
      </c>
    </row>
    <row r="54" spans="1:9">
      <c r="A54" t="s">
        <v>181</v>
      </c>
      <c r="B54" s="20">
        <v>0</v>
      </c>
      <c r="C54" s="20">
        <v>0</v>
      </c>
      <c r="D54">
        <v>0</v>
      </c>
      <c r="E54" s="20">
        <v>0</v>
      </c>
      <c r="F54" s="20">
        <v>0</v>
      </c>
      <c r="G54" s="20">
        <v>0</v>
      </c>
      <c r="H54" s="20">
        <v>0</v>
      </c>
      <c r="I54" t="s">
        <v>71</v>
      </c>
    </row>
    <row r="55" spans="1:9">
      <c r="A55" t="s">
        <v>182</v>
      </c>
      <c r="B55" s="20">
        <v>-153</v>
      </c>
      <c r="C55" s="20">
        <v>-104</v>
      </c>
      <c r="D55" s="20">
        <v>-113</v>
      </c>
      <c r="E55" s="20">
        <v>-17</v>
      </c>
      <c r="F55" s="20">
        <v>-6</v>
      </c>
      <c r="G55" s="20">
        <v>-54</v>
      </c>
      <c r="H55" s="20">
        <v>-36</v>
      </c>
      <c r="I55">
        <v>0</v>
      </c>
    </row>
    <row r="56" spans="1:9">
      <c r="A56" t="s">
        <v>183</v>
      </c>
      <c r="B56" s="20">
        <v>-4</v>
      </c>
      <c r="C56" s="20">
        <v>-82</v>
      </c>
      <c r="D56" s="20">
        <v>60</v>
      </c>
      <c r="E56" s="20">
        <v>-7</v>
      </c>
      <c r="F56" s="20">
        <v>24</v>
      </c>
      <c r="G56" s="20">
        <v>-15</v>
      </c>
      <c r="H56" s="20">
        <v>52</v>
      </c>
      <c r="I56" s="20">
        <v>-28</v>
      </c>
    </row>
    <row r="57" spans="1:9">
      <c r="A57" t="s">
        <v>184</v>
      </c>
      <c r="B57" s="20">
        <v>740</v>
      </c>
      <c r="C57" s="20">
        <v>1383</v>
      </c>
      <c r="D57" s="20">
        <v>830</v>
      </c>
      <c r="E57" s="20">
        <v>864</v>
      </c>
      <c r="F57" s="20">
        <v>1069</v>
      </c>
      <c r="G57" s="20">
        <v>620</v>
      </c>
      <c r="H57" s="20">
        <v>1172</v>
      </c>
      <c r="I57" s="20">
        <v>1176</v>
      </c>
    </row>
    <row r="58" spans="1:9">
      <c r="A58" t="s">
        <v>185</v>
      </c>
      <c r="B58" s="20">
        <v>0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</row>
    <row r="59" spans="1:9">
      <c r="A59" t="s">
        <v>186</v>
      </c>
      <c r="B59" s="20">
        <v>0</v>
      </c>
      <c r="C59" s="20">
        <v>0</v>
      </c>
      <c r="D59" s="20">
        <v>0</v>
      </c>
      <c r="E59" s="20">
        <v>0</v>
      </c>
      <c r="F59" s="20">
        <v>-74</v>
      </c>
      <c r="G59" s="20">
        <v>0</v>
      </c>
      <c r="H59" s="20">
        <v>0</v>
      </c>
      <c r="I59" s="20">
        <v>0</v>
      </c>
    </row>
    <row r="60" spans="1:9">
      <c r="A60" t="s">
        <v>187</v>
      </c>
      <c r="B60" s="20">
        <v>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8</v>
      </c>
    </row>
    <row r="61" spans="1:9">
      <c r="A61" t="s">
        <v>188</v>
      </c>
      <c r="B61" s="20">
        <v>-631</v>
      </c>
      <c r="C61" s="20">
        <v>-301</v>
      </c>
      <c r="D61" s="20">
        <v>-303</v>
      </c>
      <c r="E61" s="20">
        <v>-444</v>
      </c>
      <c r="F61" s="20">
        <v>-289</v>
      </c>
      <c r="G61" s="20">
        <v>-250</v>
      </c>
      <c r="H61" s="20">
        <v>-445</v>
      </c>
      <c r="I61" s="20">
        <v>-831</v>
      </c>
    </row>
    <row r="62" spans="1:9">
      <c r="A62" t="s">
        <v>189</v>
      </c>
      <c r="B62" s="20">
        <v>0</v>
      </c>
      <c r="C62" s="20">
        <v>0</v>
      </c>
      <c r="D62" s="20">
        <v>365</v>
      </c>
      <c r="E62" s="20">
        <v>318</v>
      </c>
      <c r="F62" s="20">
        <v>0</v>
      </c>
      <c r="G62" s="20">
        <v>10</v>
      </c>
      <c r="H62" s="20">
        <v>2</v>
      </c>
      <c r="I62" s="20">
        <v>1</v>
      </c>
    </row>
    <row r="63" spans="1:9">
      <c r="A63" t="s">
        <v>190</v>
      </c>
      <c r="B63" s="20">
        <v>0</v>
      </c>
      <c r="C63" s="20">
        <v>0</v>
      </c>
      <c r="D63" s="20">
        <v>0</v>
      </c>
      <c r="E63" s="20">
        <v>0</v>
      </c>
      <c r="F63" s="20">
        <v>0</v>
      </c>
      <c r="G63" s="20">
        <v>0</v>
      </c>
      <c r="H63" s="20">
        <v>0</v>
      </c>
      <c r="I63" s="20" t="s">
        <v>71</v>
      </c>
    </row>
    <row r="64" spans="1:9">
      <c r="A64" t="s">
        <v>191</v>
      </c>
      <c r="B64" s="20">
        <v>-12</v>
      </c>
      <c r="C64" s="20">
        <v>-13</v>
      </c>
      <c r="D64" s="20">
        <v>-12</v>
      </c>
      <c r="E64" s="20">
        <v>-11</v>
      </c>
      <c r="F64" s="20">
        <v>-11</v>
      </c>
      <c r="G64" s="20">
        <v>-10</v>
      </c>
      <c r="H64" s="20">
        <v>-8</v>
      </c>
      <c r="I64" s="20">
        <v>0</v>
      </c>
    </row>
    <row r="65" spans="1:9">
      <c r="A65" t="s">
        <v>192</v>
      </c>
      <c r="B65" s="20">
        <v>7</v>
      </c>
      <c r="C65" s="20">
        <v>5</v>
      </c>
      <c r="D65" s="20">
        <v>-11</v>
      </c>
      <c r="E65" s="20">
        <v>-21</v>
      </c>
      <c r="F65" s="20">
        <v>-2</v>
      </c>
      <c r="G65" s="20">
        <v>13</v>
      </c>
      <c r="H65" s="20">
        <v>-3</v>
      </c>
      <c r="I65" s="20">
        <v>114</v>
      </c>
    </row>
    <row r="66" spans="1:9">
      <c r="A66" t="s">
        <v>193</v>
      </c>
      <c r="B66" s="20">
        <v>0</v>
      </c>
      <c r="C66" s="20">
        <v>0</v>
      </c>
      <c r="D66" s="20">
        <v>0</v>
      </c>
      <c r="E66" s="20">
        <v>0</v>
      </c>
      <c r="F66" s="20">
        <v>0</v>
      </c>
      <c r="G66" s="20">
        <v>0</v>
      </c>
      <c r="H66" s="20">
        <v>0</v>
      </c>
      <c r="I66" s="20">
        <v>0</v>
      </c>
    </row>
    <row r="67" spans="1:9">
      <c r="A67" t="s">
        <v>194</v>
      </c>
      <c r="B67" s="20">
        <v>0</v>
      </c>
      <c r="C67" s="20">
        <v>0</v>
      </c>
      <c r="D67" s="20">
        <v>0</v>
      </c>
      <c r="E67" s="20">
        <v>0</v>
      </c>
      <c r="F67" s="20">
        <v>0</v>
      </c>
      <c r="G67" s="20">
        <v>0</v>
      </c>
      <c r="H67">
        <v>0</v>
      </c>
      <c r="I67" s="20">
        <v>0</v>
      </c>
    </row>
    <row r="68" spans="1:9">
      <c r="A68" t="s">
        <v>195</v>
      </c>
      <c r="B68" s="20">
        <v>0</v>
      </c>
      <c r="C68" s="20">
        <v>0</v>
      </c>
      <c r="D68" s="20">
        <v>0</v>
      </c>
      <c r="E68" s="20">
        <v>0</v>
      </c>
      <c r="F68" s="20">
        <v>0</v>
      </c>
      <c r="G68" s="20">
        <v>0</v>
      </c>
      <c r="H68" s="20">
        <v>0</v>
      </c>
      <c r="I68" s="20" t="s">
        <v>71</v>
      </c>
    </row>
    <row r="69" spans="1:9">
      <c r="A69" t="s">
        <v>196</v>
      </c>
      <c r="B69" s="20">
        <v>0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 t="s">
        <v>71</v>
      </c>
    </row>
    <row r="70" spans="1:9">
      <c r="A70" t="s">
        <v>197</v>
      </c>
      <c r="B70" s="20">
        <v>0</v>
      </c>
      <c r="C70" s="20">
        <v>0</v>
      </c>
      <c r="D70" s="20">
        <v>0</v>
      </c>
      <c r="E70" s="20">
        <v>0</v>
      </c>
      <c r="F70" s="20">
        <v>0</v>
      </c>
      <c r="G70" s="20">
        <v>0</v>
      </c>
      <c r="H70" s="20">
        <v>0</v>
      </c>
      <c r="I70" s="20" t="s">
        <v>71</v>
      </c>
    </row>
    <row r="71" spans="1:9">
      <c r="A71" t="s">
        <v>198</v>
      </c>
      <c r="B71" s="20">
        <v>0</v>
      </c>
      <c r="C71" s="20">
        <v>0</v>
      </c>
      <c r="D71" s="20">
        <v>0</v>
      </c>
      <c r="E71" s="20">
        <v>0</v>
      </c>
      <c r="F71" s="20">
        <v>0</v>
      </c>
      <c r="G71" s="20">
        <v>0</v>
      </c>
      <c r="H71" s="20">
        <v>0</v>
      </c>
      <c r="I71" s="20" t="s">
        <v>71</v>
      </c>
    </row>
    <row r="72" spans="1:9">
      <c r="A72" t="s">
        <v>199</v>
      </c>
      <c r="B72" s="20">
        <v>0</v>
      </c>
      <c r="C72" s="20">
        <v>0</v>
      </c>
      <c r="D72" s="20">
        <v>0</v>
      </c>
      <c r="E72" s="20">
        <v>0</v>
      </c>
      <c r="F72" s="20">
        <v>0</v>
      </c>
      <c r="G72" s="20">
        <v>0</v>
      </c>
      <c r="H72" s="20">
        <v>0</v>
      </c>
      <c r="I72" s="20">
        <v>23</v>
      </c>
    </row>
    <row r="73" spans="1:9">
      <c r="A73" t="s">
        <v>200</v>
      </c>
      <c r="B73" s="20">
        <v>-84</v>
      </c>
      <c r="C73" s="20">
        <v>-308</v>
      </c>
      <c r="D73" s="20">
        <v>102</v>
      </c>
      <c r="E73" s="20">
        <v>-86</v>
      </c>
      <c r="F73" s="20">
        <v>-394</v>
      </c>
      <c r="G73" s="20">
        <v>-259</v>
      </c>
      <c r="H73" s="20">
        <v>-454</v>
      </c>
      <c r="I73" s="20">
        <v>-675</v>
      </c>
    </row>
    <row r="74" spans="1:9">
      <c r="A74" t="s">
        <v>201</v>
      </c>
      <c r="B74" s="20">
        <v>-167</v>
      </c>
      <c r="C74" s="20">
        <v>338</v>
      </c>
      <c r="D74" s="20">
        <v>-328</v>
      </c>
      <c r="E74" s="20">
        <v>-7</v>
      </c>
      <c r="F74" s="20">
        <v>74</v>
      </c>
      <c r="G74" s="20">
        <v>-182</v>
      </c>
      <c r="H74" s="20">
        <v>-68</v>
      </c>
      <c r="I74" s="20">
        <v>182</v>
      </c>
    </row>
    <row r="75" spans="1:9">
      <c r="A75" t="s">
        <v>202</v>
      </c>
      <c r="B75" s="20">
        <v>0</v>
      </c>
      <c r="C75" s="20">
        <v>0</v>
      </c>
      <c r="D75" s="20">
        <v>0</v>
      </c>
      <c r="E75" s="20">
        <v>0</v>
      </c>
      <c r="F75" s="20">
        <v>0</v>
      </c>
      <c r="G75" s="20">
        <v>0</v>
      </c>
      <c r="H75" s="20">
        <v>0</v>
      </c>
      <c r="I75" s="20">
        <v>0</v>
      </c>
    </row>
    <row r="76" spans="1:9">
      <c r="A76" t="s">
        <v>203</v>
      </c>
      <c r="B76" s="20">
        <v>0</v>
      </c>
      <c r="C76" s="20">
        <v>0</v>
      </c>
      <c r="D76" s="20">
        <v>0</v>
      </c>
      <c r="E76" s="20">
        <v>0</v>
      </c>
      <c r="F76" s="20">
        <v>0</v>
      </c>
      <c r="G76" s="20">
        <v>0</v>
      </c>
      <c r="H76" s="20">
        <v>0</v>
      </c>
      <c r="I76" s="20">
        <v>0</v>
      </c>
    </row>
    <row r="77" spans="1:9">
      <c r="A77" t="s">
        <v>204</v>
      </c>
      <c r="B77" s="20">
        <v>0</v>
      </c>
      <c r="C77" s="20">
        <v>0</v>
      </c>
      <c r="D77" s="20">
        <v>0</v>
      </c>
      <c r="E77" s="20">
        <v>0</v>
      </c>
      <c r="F77" s="20">
        <v>0</v>
      </c>
      <c r="G77" s="20">
        <v>0</v>
      </c>
      <c r="H77" s="20">
        <v>0</v>
      </c>
      <c r="I77" s="20">
        <v>0</v>
      </c>
    </row>
    <row r="78" spans="1:9">
      <c r="A78" t="s">
        <v>205</v>
      </c>
      <c r="B78" s="20">
        <v>404</v>
      </c>
      <c r="C78" s="20">
        <v>0</v>
      </c>
      <c r="D78" s="20">
        <v>2987</v>
      </c>
      <c r="E78" s="20">
        <v>155</v>
      </c>
      <c r="F78" s="20">
        <v>0</v>
      </c>
      <c r="G78" s="20">
        <v>884</v>
      </c>
      <c r="H78" s="20">
        <v>633</v>
      </c>
      <c r="I78" s="20">
        <v>0</v>
      </c>
    </row>
    <row r="79" spans="1:9">
      <c r="A79" t="s">
        <v>206</v>
      </c>
      <c r="B79" s="20">
        <v>-154</v>
      </c>
      <c r="C79" s="20">
        <v>-420</v>
      </c>
      <c r="D79" s="20">
        <v>-3806</v>
      </c>
      <c r="E79" s="20">
        <v>-449</v>
      </c>
      <c r="F79" s="20">
        <v>-201</v>
      </c>
      <c r="G79" s="20">
        <v>-96</v>
      </c>
      <c r="H79" s="20">
        <v>-1385</v>
      </c>
      <c r="I79" s="20">
        <v>-229</v>
      </c>
    </row>
    <row r="80" spans="1:9">
      <c r="A80" t="s">
        <v>207</v>
      </c>
      <c r="B80">
        <v>0</v>
      </c>
      <c r="C80" s="20">
        <v>0</v>
      </c>
      <c r="D80">
        <v>0</v>
      </c>
      <c r="E80" s="20">
        <v>0</v>
      </c>
      <c r="F80">
        <v>0</v>
      </c>
      <c r="G80">
        <v>0</v>
      </c>
      <c r="H80" s="20">
        <v>0</v>
      </c>
      <c r="I80" t="s">
        <v>71</v>
      </c>
    </row>
    <row r="81" spans="1:9">
      <c r="A81" t="s">
        <v>208</v>
      </c>
      <c r="B81" s="20">
        <v>0</v>
      </c>
      <c r="C81" s="20">
        <v>0</v>
      </c>
      <c r="D81" s="20">
        <v>0</v>
      </c>
      <c r="E81" s="20">
        <v>0</v>
      </c>
      <c r="F81" s="20">
        <v>0</v>
      </c>
      <c r="G81">
        <v>0</v>
      </c>
      <c r="H81">
        <v>0</v>
      </c>
      <c r="I81" s="20" t="s">
        <v>71</v>
      </c>
    </row>
    <row r="82" spans="1:9">
      <c r="A82" t="s">
        <v>209</v>
      </c>
      <c r="B82" s="20">
        <v>0</v>
      </c>
      <c r="C82" s="20">
        <v>0</v>
      </c>
      <c r="D82" s="20">
        <v>0</v>
      </c>
      <c r="E82" s="20">
        <v>0</v>
      </c>
      <c r="F82" s="20">
        <v>0</v>
      </c>
      <c r="G82" s="20">
        <v>0</v>
      </c>
      <c r="H82" s="20">
        <v>-28</v>
      </c>
      <c r="I82" s="20">
        <v>-9</v>
      </c>
    </row>
    <row r="83" spans="1:9">
      <c r="A83" t="s">
        <v>210</v>
      </c>
      <c r="B83" s="20">
        <v>0</v>
      </c>
      <c r="C83" s="20">
        <v>-1089</v>
      </c>
      <c r="D83" s="20">
        <v>0</v>
      </c>
      <c r="E83" s="20">
        <v>0</v>
      </c>
      <c r="F83" s="20">
        <v>0</v>
      </c>
      <c r="G83" s="20">
        <v>0</v>
      </c>
      <c r="H83" s="20">
        <v>0</v>
      </c>
      <c r="I83" s="20">
        <v>0</v>
      </c>
    </row>
    <row r="84" spans="1:9">
      <c r="A84" t="s">
        <v>211</v>
      </c>
      <c r="B84" s="20">
        <v>0</v>
      </c>
      <c r="C84" s="20">
        <v>150</v>
      </c>
      <c r="D84" s="20">
        <v>0</v>
      </c>
      <c r="E84" s="20">
        <v>0</v>
      </c>
      <c r="F84" s="20">
        <v>0</v>
      </c>
      <c r="G84" s="20">
        <v>0</v>
      </c>
      <c r="H84" s="20">
        <v>0</v>
      </c>
      <c r="I84" s="20">
        <v>0</v>
      </c>
    </row>
    <row r="85" spans="1:9">
      <c r="A85" t="s">
        <v>212</v>
      </c>
      <c r="B85" s="20">
        <v>-600</v>
      </c>
      <c r="C85" s="20">
        <v>-653</v>
      </c>
      <c r="D85" s="20">
        <v>-545</v>
      </c>
      <c r="E85" s="20">
        <v>-408</v>
      </c>
      <c r="F85" s="20">
        <v>-327</v>
      </c>
      <c r="G85" s="20">
        <v>-246</v>
      </c>
      <c r="H85" s="20">
        <v>-329</v>
      </c>
      <c r="I85" s="20">
        <v>-549</v>
      </c>
    </row>
    <row r="86" spans="1:9">
      <c r="A86" t="s">
        <v>213</v>
      </c>
      <c r="B86" s="20">
        <v>0</v>
      </c>
      <c r="C86" s="20">
        <v>0</v>
      </c>
      <c r="D86" s="20">
        <v>0</v>
      </c>
      <c r="E86" s="20">
        <v>0</v>
      </c>
      <c r="F86" s="20">
        <v>0</v>
      </c>
      <c r="G86" s="20">
        <v>0</v>
      </c>
      <c r="H86" s="20">
        <v>0</v>
      </c>
      <c r="I86" s="20">
        <v>0</v>
      </c>
    </row>
    <row r="87" spans="1:9">
      <c r="A87" t="s">
        <v>214</v>
      </c>
      <c r="B87" s="20">
        <v>0</v>
      </c>
      <c r="C87" s="20" t="s">
        <v>71</v>
      </c>
      <c r="D87" s="20" t="s">
        <v>71</v>
      </c>
      <c r="E87" s="20" t="s">
        <v>71</v>
      </c>
      <c r="F87" s="20" t="s">
        <v>71</v>
      </c>
      <c r="G87" s="20" t="s">
        <v>71</v>
      </c>
      <c r="H87" s="20" t="s">
        <v>71</v>
      </c>
      <c r="I87" s="20" t="s">
        <v>71</v>
      </c>
    </row>
    <row r="88" spans="1:9">
      <c r="A88" t="s">
        <v>215</v>
      </c>
      <c r="B88" s="20">
        <v>0</v>
      </c>
      <c r="C88" s="20">
        <v>0</v>
      </c>
      <c r="D88" s="20">
        <v>0</v>
      </c>
      <c r="E88" s="20">
        <v>0</v>
      </c>
      <c r="F88" s="20">
        <v>0</v>
      </c>
      <c r="G88" s="20">
        <v>0</v>
      </c>
      <c r="H88" s="20">
        <v>0</v>
      </c>
      <c r="I88" s="20">
        <v>0</v>
      </c>
    </row>
    <row r="89" spans="1:9">
      <c r="A89" t="s">
        <v>216</v>
      </c>
      <c r="B89" s="20">
        <v>0</v>
      </c>
      <c r="C89" s="20">
        <v>0</v>
      </c>
      <c r="D89" s="20">
        <v>0</v>
      </c>
      <c r="E89" s="20">
        <v>0</v>
      </c>
      <c r="F89" s="20">
        <v>0</v>
      </c>
      <c r="G89" s="20">
        <v>0</v>
      </c>
      <c r="H89" s="20">
        <v>0</v>
      </c>
      <c r="I89" s="20">
        <v>0</v>
      </c>
    </row>
    <row r="90" spans="1:9">
      <c r="A90" t="s">
        <v>217</v>
      </c>
      <c r="B90" s="20">
        <v>0</v>
      </c>
      <c r="C90" s="20">
        <v>0</v>
      </c>
      <c r="D90" s="20">
        <v>0</v>
      </c>
      <c r="E90" s="20">
        <v>0</v>
      </c>
      <c r="F90" s="20">
        <v>0</v>
      </c>
      <c r="G90" s="20">
        <v>0</v>
      </c>
      <c r="H90" s="20">
        <v>0</v>
      </c>
      <c r="I90" s="20" t="s">
        <v>71</v>
      </c>
    </row>
    <row r="91" spans="1:9">
      <c r="A91" t="s">
        <v>218</v>
      </c>
      <c r="B91" s="20">
        <v>0</v>
      </c>
      <c r="C91" s="20">
        <v>0</v>
      </c>
      <c r="D91" s="20">
        <v>0</v>
      </c>
      <c r="E91" s="20">
        <v>0</v>
      </c>
      <c r="F91" s="20">
        <v>0</v>
      </c>
      <c r="G91">
        <v>0</v>
      </c>
      <c r="H91" s="20">
        <v>0</v>
      </c>
      <c r="I91" s="20" t="s">
        <v>71</v>
      </c>
    </row>
    <row r="92" spans="1:9">
      <c r="A92" t="s">
        <v>219</v>
      </c>
      <c r="B92" s="20">
        <v>0</v>
      </c>
      <c r="C92" s="20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 t="s">
        <v>71</v>
      </c>
    </row>
    <row r="93" spans="1:9">
      <c r="A93" t="s">
        <v>220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71</v>
      </c>
    </row>
    <row r="94" spans="1:9">
      <c r="A94" t="s">
        <v>221</v>
      </c>
      <c r="B94" s="20">
        <v>-1</v>
      </c>
      <c r="C94" s="20">
        <v>2</v>
      </c>
      <c r="D94" s="20">
        <v>1</v>
      </c>
      <c r="E94" s="20">
        <v>0</v>
      </c>
      <c r="F94" s="20">
        <v>0</v>
      </c>
      <c r="G94" s="20">
        <v>0</v>
      </c>
      <c r="H94" s="20">
        <v>0</v>
      </c>
      <c r="I94" s="20">
        <v>0</v>
      </c>
    </row>
    <row r="95" spans="1:9">
      <c r="A95" t="s">
        <v>222</v>
      </c>
      <c r="B95" s="20">
        <v>-518</v>
      </c>
      <c r="C95" s="20">
        <v>-1674</v>
      </c>
      <c r="D95" s="20">
        <v>-1690</v>
      </c>
      <c r="E95" s="20">
        <v>-710</v>
      </c>
      <c r="F95" s="20">
        <v>-454</v>
      </c>
      <c r="G95" s="20">
        <v>360</v>
      </c>
      <c r="H95" s="20">
        <v>-1177</v>
      </c>
      <c r="I95" s="20">
        <v>-605</v>
      </c>
    </row>
    <row r="96" spans="1:9">
      <c r="A96" t="s">
        <v>223</v>
      </c>
      <c r="B96" s="20">
        <v>8</v>
      </c>
      <c r="C96" s="20">
        <v>-1</v>
      </c>
      <c r="D96" s="20">
        <v>-19</v>
      </c>
      <c r="E96" s="20">
        <v>12</v>
      </c>
      <c r="F96" s="20">
        <v>5</v>
      </c>
      <c r="G96" s="20">
        <v>10</v>
      </c>
      <c r="H96" s="20">
        <v>-7</v>
      </c>
      <c r="I96" s="20">
        <v>58</v>
      </c>
    </row>
    <row r="97" spans="1:9">
      <c r="A97" t="s">
        <v>224</v>
      </c>
      <c r="B97" s="20">
        <v>146</v>
      </c>
      <c r="C97" s="20">
        <v>-599</v>
      </c>
      <c r="D97" s="20">
        <v>-776</v>
      </c>
      <c r="E97" s="20">
        <v>80</v>
      </c>
      <c r="F97" s="20">
        <v>226</v>
      </c>
      <c r="G97" s="20">
        <v>732</v>
      </c>
      <c r="H97" s="20">
        <v>-466</v>
      </c>
      <c r="I97" s="20">
        <v>-46</v>
      </c>
    </row>
    <row r="98" spans="1:9">
      <c r="A98" t="s">
        <v>225</v>
      </c>
      <c r="B98" s="20">
        <v>2545</v>
      </c>
      <c r="C98" s="20">
        <v>3144</v>
      </c>
      <c r="D98" s="20">
        <v>3920</v>
      </c>
      <c r="E98" s="20">
        <v>3840</v>
      </c>
      <c r="F98" s="20">
        <v>3614</v>
      </c>
      <c r="G98" s="20">
        <v>2883</v>
      </c>
      <c r="H98" s="20">
        <v>3349</v>
      </c>
      <c r="I98" s="20">
        <v>3394</v>
      </c>
    </row>
    <row r="99" spans="1:9">
      <c r="A99" t="s">
        <v>226</v>
      </c>
      <c r="B99" s="20">
        <v>2690</v>
      </c>
      <c r="C99" s="20">
        <v>2545</v>
      </c>
      <c r="D99" s="20">
        <v>3144</v>
      </c>
      <c r="E99" s="20">
        <v>3920</v>
      </c>
      <c r="F99" s="20">
        <v>3840</v>
      </c>
      <c r="G99" s="20">
        <v>3614</v>
      </c>
      <c r="H99" s="20">
        <v>2883</v>
      </c>
      <c r="I99" s="20">
        <v>3349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32"/>
  <sheetViews>
    <sheetView workbookViewId="0"/>
  </sheetViews>
  <sheetFormatPr defaultRowHeight="16.5"/>
  <cols>
    <col min="1" max="1" width="21.875" customWidth="1"/>
    <col min="2" max="2" width="11.625" customWidth="1"/>
    <col min="3" max="3" width="9.5" customWidth="1"/>
    <col min="4" max="4" width="11.625" customWidth="1"/>
    <col min="5" max="6" width="9.5" customWidth="1"/>
    <col min="7" max="7" width="5.5" customWidth="1"/>
    <col min="8" max="8" width="11.625" customWidth="1"/>
    <col min="9" max="9" width="10.375" bestFit="1" customWidth="1"/>
  </cols>
  <sheetData>
    <row r="1" spans="1:9">
      <c r="A1" t="s">
        <v>371</v>
      </c>
    </row>
    <row r="2" spans="1:9">
      <c r="A2" t="s">
        <v>333</v>
      </c>
    </row>
    <row r="4" spans="1:9">
      <c r="A4" t="s">
        <v>112</v>
      </c>
      <c r="B4" t="s">
        <v>117</v>
      </c>
      <c r="E4" t="s">
        <v>90</v>
      </c>
      <c r="H4" t="s">
        <v>334</v>
      </c>
      <c r="I4" t="s">
        <v>335</v>
      </c>
    </row>
    <row r="5" spans="1:9">
      <c r="B5" t="s">
        <v>337</v>
      </c>
      <c r="C5" t="s">
        <v>338</v>
      </c>
      <c r="D5" t="s">
        <v>339</v>
      </c>
      <c r="E5" t="s">
        <v>94</v>
      </c>
      <c r="F5" t="s">
        <v>98</v>
      </c>
      <c r="G5" t="s">
        <v>339</v>
      </c>
      <c r="I5" t="s">
        <v>336</v>
      </c>
    </row>
    <row r="6" spans="1:9">
      <c r="A6">
        <v>2018</v>
      </c>
      <c r="B6">
        <v>0.5</v>
      </c>
      <c r="C6">
        <v>0</v>
      </c>
      <c r="D6">
        <v>0.5</v>
      </c>
      <c r="E6">
        <v>0</v>
      </c>
      <c r="F6">
        <v>0</v>
      </c>
      <c r="G6">
        <v>0</v>
      </c>
      <c r="H6">
        <v>0.5</v>
      </c>
      <c r="I6">
        <v>0</v>
      </c>
    </row>
    <row r="7" spans="1:9">
      <c r="A7">
        <v>2017</v>
      </c>
      <c r="B7">
        <v>1.35</v>
      </c>
      <c r="C7">
        <v>0</v>
      </c>
      <c r="D7">
        <v>1.35</v>
      </c>
      <c r="E7">
        <v>0</v>
      </c>
      <c r="F7">
        <v>0</v>
      </c>
      <c r="G7">
        <v>0</v>
      </c>
      <c r="H7">
        <v>1.35</v>
      </c>
      <c r="I7">
        <v>0</v>
      </c>
    </row>
    <row r="8" spans="1:9">
      <c r="A8">
        <v>2016</v>
      </c>
      <c r="B8">
        <v>1.1908021200000001</v>
      </c>
      <c r="C8">
        <v>0</v>
      </c>
      <c r="D8">
        <v>1.1908021200000001</v>
      </c>
      <c r="E8">
        <v>0</v>
      </c>
      <c r="F8">
        <v>0</v>
      </c>
      <c r="G8">
        <v>0</v>
      </c>
      <c r="H8">
        <v>1.1908021200000001</v>
      </c>
      <c r="I8">
        <v>0</v>
      </c>
    </row>
    <row r="9" spans="1:9">
      <c r="A9">
        <v>2015</v>
      </c>
      <c r="B9">
        <v>1</v>
      </c>
      <c r="C9">
        <v>0</v>
      </c>
      <c r="D9">
        <v>1</v>
      </c>
      <c r="E9">
        <v>0</v>
      </c>
      <c r="F9">
        <v>0</v>
      </c>
      <c r="G9">
        <v>0</v>
      </c>
      <c r="H9">
        <v>1</v>
      </c>
      <c r="I9">
        <v>0</v>
      </c>
    </row>
    <row r="10" spans="1:9">
      <c r="A10">
        <v>2014</v>
      </c>
      <c r="B10">
        <v>0.75</v>
      </c>
      <c r="C10">
        <v>0</v>
      </c>
      <c r="D10">
        <v>0.75</v>
      </c>
      <c r="E10">
        <v>0</v>
      </c>
      <c r="F10">
        <v>0</v>
      </c>
      <c r="G10">
        <v>0</v>
      </c>
      <c r="H10">
        <v>0.75</v>
      </c>
      <c r="I10">
        <v>0</v>
      </c>
    </row>
    <row r="11" spans="1:9">
      <c r="A11">
        <v>2013</v>
      </c>
      <c r="B11" t="s">
        <v>340</v>
      </c>
      <c r="C11" t="s">
        <v>340</v>
      </c>
      <c r="D11">
        <v>0.6</v>
      </c>
      <c r="E11">
        <v>0</v>
      </c>
      <c r="F11">
        <v>0</v>
      </c>
      <c r="G11">
        <v>0</v>
      </c>
      <c r="H11">
        <v>0.6</v>
      </c>
      <c r="I11">
        <v>0</v>
      </c>
    </row>
    <row r="12" spans="1:9">
      <c r="A12">
        <v>2012</v>
      </c>
      <c r="B12" t="s">
        <v>340</v>
      </c>
      <c r="C12" t="s">
        <v>340</v>
      </c>
      <c r="D12">
        <v>0.45</v>
      </c>
      <c r="E12">
        <v>0</v>
      </c>
      <c r="F12">
        <v>0</v>
      </c>
      <c r="G12">
        <v>0</v>
      </c>
      <c r="H12">
        <v>0.45</v>
      </c>
      <c r="I12">
        <v>0</v>
      </c>
    </row>
    <row r="13" spans="1:9">
      <c r="A13">
        <v>2011</v>
      </c>
      <c r="B13" t="s">
        <v>340</v>
      </c>
      <c r="C13" t="s">
        <v>340</v>
      </c>
      <c r="D13">
        <v>0.60367579999999998</v>
      </c>
      <c r="E13">
        <v>0</v>
      </c>
      <c r="F13">
        <v>0</v>
      </c>
      <c r="G13">
        <v>0</v>
      </c>
      <c r="H13">
        <v>0.60367579999999998</v>
      </c>
      <c r="I13">
        <v>0</v>
      </c>
    </row>
    <row r="14" spans="1:9">
      <c r="A14">
        <v>2010</v>
      </c>
      <c r="B14" t="s">
        <v>340</v>
      </c>
      <c r="C14" t="s">
        <v>340</v>
      </c>
      <c r="D14">
        <v>1</v>
      </c>
      <c r="E14">
        <v>0</v>
      </c>
      <c r="F14">
        <v>0</v>
      </c>
      <c r="G14">
        <v>0</v>
      </c>
      <c r="H14">
        <v>1</v>
      </c>
      <c r="I14">
        <v>0</v>
      </c>
    </row>
    <row r="15" spans="1:9">
      <c r="A15">
        <v>2009</v>
      </c>
      <c r="B15" t="s">
        <v>340</v>
      </c>
      <c r="C15" t="s">
        <v>340</v>
      </c>
      <c r="D15">
        <v>0.249499</v>
      </c>
      <c r="E15">
        <v>0</v>
      </c>
      <c r="F15">
        <v>0</v>
      </c>
      <c r="G15">
        <v>0</v>
      </c>
      <c r="H15">
        <v>0.249499</v>
      </c>
      <c r="I15">
        <v>0</v>
      </c>
    </row>
    <row r="16" spans="1:9">
      <c r="A16">
        <v>2008</v>
      </c>
      <c r="B16" t="s">
        <v>340</v>
      </c>
      <c r="C16" t="s">
        <v>340</v>
      </c>
      <c r="D16">
        <v>0.24980527999999999</v>
      </c>
      <c r="E16">
        <v>0</v>
      </c>
      <c r="F16">
        <v>0</v>
      </c>
      <c r="G16">
        <v>0</v>
      </c>
      <c r="H16">
        <v>0.24980527999999999</v>
      </c>
      <c r="I16">
        <v>0</v>
      </c>
    </row>
    <row r="17" spans="1:9">
      <c r="A17">
        <v>2007</v>
      </c>
      <c r="B17" t="s">
        <v>340</v>
      </c>
      <c r="C17" t="s">
        <v>340</v>
      </c>
      <c r="D17">
        <v>0.99478</v>
      </c>
      <c r="E17">
        <v>0</v>
      </c>
      <c r="F17">
        <v>0</v>
      </c>
      <c r="G17">
        <v>0</v>
      </c>
      <c r="H17">
        <v>0.99478</v>
      </c>
      <c r="I17">
        <v>0</v>
      </c>
    </row>
    <row r="18" spans="1:9">
      <c r="A18">
        <v>2006</v>
      </c>
      <c r="B18" t="s">
        <v>340</v>
      </c>
      <c r="C18" t="s">
        <v>340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>
      <c r="A19">
        <v>2005</v>
      </c>
      <c r="B19" t="s">
        <v>340</v>
      </c>
      <c r="C19" t="s">
        <v>340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>
      <c r="A20">
        <v>2004</v>
      </c>
      <c r="B20" t="s">
        <v>340</v>
      </c>
      <c r="C20" t="s">
        <v>340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>
      <c r="A21">
        <v>2003</v>
      </c>
      <c r="B21" t="s">
        <v>340</v>
      </c>
      <c r="C21" t="s">
        <v>340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>
        <v>2002</v>
      </c>
      <c r="B22" t="s">
        <v>340</v>
      </c>
      <c r="C22" t="s">
        <v>340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>
        <v>2001</v>
      </c>
      <c r="B23" t="s">
        <v>340</v>
      </c>
      <c r="C23" t="s">
        <v>340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>
        <v>2000</v>
      </c>
      <c r="B24" t="s">
        <v>340</v>
      </c>
      <c r="C24" t="s">
        <v>340</v>
      </c>
      <c r="D24">
        <v>0</v>
      </c>
      <c r="E24">
        <v>1.5</v>
      </c>
      <c r="F24">
        <v>1</v>
      </c>
      <c r="G24">
        <v>2.5</v>
      </c>
      <c r="H24">
        <v>2.5</v>
      </c>
      <c r="I24">
        <v>1.33</v>
      </c>
    </row>
    <row r="25" spans="1:9">
      <c r="A25">
        <v>1999</v>
      </c>
      <c r="B25" t="s">
        <v>340</v>
      </c>
      <c r="C25" t="s">
        <v>340</v>
      </c>
      <c r="D25">
        <v>0</v>
      </c>
      <c r="E25">
        <v>1</v>
      </c>
      <c r="F25">
        <v>1</v>
      </c>
      <c r="G25">
        <v>2</v>
      </c>
      <c r="H25">
        <v>2</v>
      </c>
      <c r="I25">
        <v>0</v>
      </c>
    </row>
    <row r="26" spans="1:9">
      <c r="A26">
        <v>1998</v>
      </c>
      <c r="B26" t="s">
        <v>340</v>
      </c>
      <c r="C26" t="s">
        <v>340</v>
      </c>
      <c r="D26">
        <v>0</v>
      </c>
      <c r="E26">
        <v>2</v>
      </c>
      <c r="F26">
        <v>1</v>
      </c>
      <c r="G26">
        <v>3</v>
      </c>
      <c r="H26">
        <v>3</v>
      </c>
      <c r="I26">
        <v>2.67</v>
      </c>
    </row>
    <row r="27" spans="1:9">
      <c r="A27">
        <v>1997</v>
      </c>
      <c r="B27" t="s">
        <v>340</v>
      </c>
      <c r="C27" t="s">
        <v>340</v>
      </c>
      <c r="D27">
        <v>0</v>
      </c>
      <c r="E27">
        <v>2.5</v>
      </c>
      <c r="F27">
        <v>1</v>
      </c>
      <c r="G27">
        <v>3.5</v>
      </c>
      <c r="H27">
        <v>3.5</v>
      </c>
      <c r="I27">
        <v>4</v>
      </c>
    </row>
    <row r="28" spans="1:9">
      <c r="A28">
        <v>1996</v>
      </c>
      <c r="B28" t="s">
        <v>340</v>
      </c>
      <c r="C28" t="s">
        <v>340</v>
      </c>
      <c r="D28">
        <v>0</v>
      </c>
      <c r="E28">
        <v>1.5</v>
      </c>
      <c r="F28">
        <v>1</v>
      </c>
      <c r="G28">
        <v>2.5</v>
      </c>
      <c r="H28">
        <v>2.5</v>
      </c>
      <c r="I28">
        <v>1.33</v>
      </c>
    </row>
    <row r="29" spans="1:9">
      <c r="A29">
        <v>1995</v>
      </c>
      <c r="B29" t="s">
        <v>340</v>
      </c>
      <c r="C29" t="s">
        <v>340</v>
      </c>
      <c r="D29">
        <v>0</v>
      </c>
      <c r="E29">
        <v>0</v>
      </c>
      <c r="F29">
        <v>1</v>
      </c>
      <c r="G29">
        <v>1</v>
      </c>
      <c r="H29">
        <v>1</v>
      </c>
      <c r="I29">
        <v>0</v>
      </c>
    </row>
    <row r="30" spans="1:9">
      <c r="A30">
        <v>1994</v>
      </c>
      <c r="B30" t="s">
        <v>340</v>
      </c>
      <c r="C30" t="s">
        <v>340</v>
      </c>
      <c r="D30">
        <v>0</v>
      </c>
      <c r="E30">
        <v>2.2000000000000002</v>
      </c>
      <c r="F30">
        <v>0.3</v>
      </c>
      <c r="G30">
        <v>2.5</v>
      </c>
      <c r="H30">
        <v>2.5</v>
      </c>
      <c r="I30">
        <v>0</v>
      </c>
    </row>
    <row r="31" spans="1:9">
      <c r="A31">
        <v>1993</v>
      </c>
      <c r="B31" t="s">
        <v>340</v>
      </c>
      <c r="C31" t="s">
        <v>340</v>
      </c>
      <c r="D31">
        <v>0</v>
      </c>
      <c r="E31">
        <v>1.8</v>
      </c>
      <c r="F31">
        <v>1.2</v>
      </c>
      <c r="G31">
        <v>3</v>
      </c>
      <c r="H31">
        <v>3</v>
      </c>
      <c r="I31">
        <v>0</v>
      </c>
    </row>
    <row r="32" spans="1:9">
      <c r="A32">
        <v>1992</v>
      </c>
      <c r="B32" t="s">
        <v>340</v>
      </c>
      <c r="C32" t="s">
        <v>340</v>
      </c>
      <c r="D32">
        <v>0</v>
      </c>
      <c r="E32">
        <v>0</v>
      </c>
      <c r="F32">
        <v>2</v>
      </c>
      <c r="G32">
        <v>2</v>
      </c>
      <c r="H32">
        <v>2</v>
      </c>
      <c r="I32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47"/>
  <sheetViews>
    <sheetView tabSelected="1" workbookViewId="0">
      <selection activeCell="E16" sqref="E16"/>
    </sheetView>
  </sheetViews>
  <sheetFormatPr defaultColWidth="8.75" defaultRowHeight="14.25"/>
  <cols>
    <col min="1" max="1" width="41.25" style="1" customWidth="1"/>
    <col min="2" max="2" width="12.5" style="1" customWidth="1"/>
    <col min="3" max="3" width="12.75" style="1" bestFit="1" customWidth="1"/>
    <col min="4" max="4" width="11.625" style="1" bestFit="1" customWidth="1"/>
    <col min="5" max="6" width="19.25" style="1" customWidth="1"/>
    <col min="7" max="12" width="11.625" style="1" bestFit="1" customWidth="1"/>
    <col min="13" max="16384" width="8.75" style="1"/>
  </cols>
  <sheetData>
    <row r="1" spans="1:7" ht="15.75">
      <c r="A1" s="14" t="s">
        <v>33</v>
      </c>
      <c r="B1" s="3" t="s">
        <v>34</v>
      </c>
      <c r="E1" s="1" t="s">
        <v>46</v>
      </c>
      <c r="F1" s="19" t="s">
        <v>47</v>
      </c>
    </row>
    <row r="2" spans="1:7" ht="15.75">
      <c r="A2" s="1" t="s">
        <v>0</v>
      </c>
      <c r="B2" s="2">
        <v>0</v>
      </c>
      <c r="C2" s="1">
        <v>636</v>
      </c>
      <c r="D2" s="1">
        <f>(C2-C3)/C3</f>
        <v>-4.9327354260089683E-2</v>
      </c>
      <c r="E2" s="1">
        <v>1.47</v>
      </c>
      <c r="F2" s="1">
        <v>0.5</v>
      </c>
      <c r="G2" s="1">
        <f>F2/E2</f>
        <v>0.3401360544217687</v>
      </c>
    </row>
    <row r="3" spans="1:7" ht="15.75">
      <c r="A3" s="1" t="s">
        <v>1</v>
      </c>
      <c r="B3" s="2">
        <v>0</v>
      </c>
      <c r="C3" s="1">
        <v>669</v>
      </c>
      <c r="D3" s="1">
        <f t="shared" ref="D3:D6" si="0">(C3-C4)/C4</f>
        <v>0.20107719928186715</v>
      </c>
      <c r="E3" s="1">
        <v>1.33</v>
      </c>
      <c r="F3" s="1">
        <v>1.35</v>
      </c>
      <c r="G3" s="1">
        <f t="shared" ref="G3:G6" si="1">F3/E3</f>
        <v>1.0150375939849625</v>
      </c>
    </row>
    <row r="4" spans="1:7" ht="15.75">
      <c r="A4" s="1" t="s">
        <v>2</v>
      </c>
      <c r="B4" s="2">
        <f>G8</f>
        <v>0.75883652569831972</v>
      </c>
      <c r="C4" s="1">
        <v>557</v>
      </c>
      <c r="D4" s="1">
        <f t="shared" si="0"/>
        <v>0.18510638297872339</v>
      </c>
      <c r="E4" s="1">
        <v>1.57</v>
      </c>
      <c r="F4" s="1">
        <v>1.1908021200000001</v>
      </c>
      <c r="G4" s="1">
        <f t="shared" si="1"/>
        <v>0.75847268789808919</v>
      </c>
    </row>
    <row r="5" spans="1:7" ht="15.75">
      <c r="A5" s="1" t="s">
        <v>27</v>
      </c>
      <c r="B5" s="3">
        <v>780000000</v>
      </c>
      <c r="C5" s="1">
        <v>470</v>
      </c>
      <c r="D5" s="1">
        <f t="shared" si="0"/>
        <v>-0.29955290611028318</v>
      </c>
      <c r="E5" s="1">
        <v>1.05</v>
      </c>
      <c r="F5" s="1">
        <v>1</v>
      </c>
      <c r="G5" s="1">
        <f t="shared" si="1"/>
        <v>0.95238095238095233</v>
      </c>
    </row>
    <row r="6" spans="1:7" ht="15.75">
      <c r="A6" s="1" t="s">
        <v>3</v>
      </c>
      <c r="B6" s="3">
        <v>450000000</v>
      </c>
      <c r="C6" s="1">
        <v>671</v>
      </c>
      <c r="D6" s="1">
        <f t="shared" si="0"/>
        <v>0.5641025641025641</v>
      </c>
      <c r="E6" s="1">
        <v>1.03</v>
      </c>
      <c r="F6" s="1">
        <v>0.75</v>
      </c>
      <c r="G6" s="1">
        <f t="shared" si="1"/>
        <v>0.72815533980582525</v>
      </c>
    </row>
    <row r="7" spans="1:7" ht="15.75">
      <c r="A7" s="7" t="s">
        <v>28</v>
      </c>
      <c r="B7" s="3">
        <v>24</v>
      </c>
      <c r="C7" s="1">
        <v>429</v>
      </c>
      <c r="G7" s="1">
        <f>SUM(G2:G6)</f>
        <v>3.7941826284915985</v>
      </c>
    </row>
    <row r="8" spans="1:7" ht="15.75">
      <c r="A8" s="7" t="s">
        <v>29</v>
      </c>
      <c r="B8" s="3">
        <v>15</v>
      </c>
      <c r="D8" s="1">
        <f>SUM(D2:D5)/5</f>
        <v>7.4606643780435354E-3</v>
      </c>
      <c r="G8" s="1">
        <f>G7/5</f>
        <v>0.75883652569831972</v>
      </c>
    </row>
    <row r="9" spans="1:7" ht="15.75">
      <c r="A9" s="7" t="s">
        <v>30</v>
      </c>
      <c r="B9" s="2">
        <v>0.13</v>
      </c>
    </row>
    <row r="10" spans="1:7" ht="15.75">
      <c r="A10" s="7" t="s">
        <v>31</v>
      </c>
      <c r="B10" s="2">
        <v>0.09</v>
      </c>
    </row>
    <row r="11" spans="1:7" ht="15.75">
      <c r="A11" s="7" t="s">
        <v>32</v>
      </c>
      <c r="B11" s="2">
        <v>0.03</v>
      </c>
      <c r="C11" s="1">
        <f>+B5</f>
        <v>780000000</v>
      </c>
    </row>
    <row r="12" spans="1:7" ht="16.5" customHeight="1"/>
    <row r="13" spans="1:7" ht="15.75">
      <c r="A13" s="15" t="s">
        <v>45</v>
      </c>
      <c r="B13" s="16" t="s">
        <v>42</v>
      </c>
      <c r="C13" s="17" t="s">
        <v>35</v>
      </c>
    </row>
    <row r="14" spans="1:7" ht="15.75">
      <c r="A14" s="11" t="s">
        <v>36</v>
      </c>
      <c r="B14" s="12">
        <f>+B30/L25</f>
        <v>7.6592970512792631</v>
      </c>
      <c r="C14" s="13">
        <f>+B31+M36</f>
        <v>14.796525412547052</v>
      </c>
    </row>
    <row r="15" spans="1:7" ht="15.75">
      <c r="A15" s="11" t="s">
        <v>37</v>
      </c>
      <c r="B15" s="12">
        <f>+B30/L26</f>
        <v>10.982680979287911</v>
      </c>
      <c r="C15" s="13">
        <f t="shared" ref="C15:C16" si="2">+B32+M37</f>
        <v>19.423932972606764</v>
      </c>
    </row>
    <row r="16" spans="1:7" ht="15.75">
      <c r="A16" s="11" t="s">
        <v>38</v>
      </c>
      <c r="B16" s="12">
        <f>+B30/L27</f>
        <v>19.346441787314848</v>
      </c>
      <c r="C16" s="13">
        <f t="shared" si="2"/>
        <v>30.566359559860445</v>
      </c>
    </row>
    <row r="17" spans="1:12" ht="15">
      <c r="A17" s="11"/>
      <c r="B17" s="12"/>
      <c r="C17" s="13"/>
    </row>
    <row r="18" spans="1:12" s="18" customFormat="1" ht="15.75" customHeight="1">
      <c r="A18" s="56" t="s">
        <v>44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ht="15.75">
      <c r="A19" s="1" t="s">
        <v>4</v>
      </c>
      <c r="B19" s="1" t="s">
        <v>5</v>
      </c>
      <c r="C19" s="1" t="s">
        <v>6</v>
      </c>
      <c r="D19" s="1" t="s">
        <v>7</v>
      </c>
      <c r="E19" s="1" t="s">
        <v>8</v>
      </c>
      <c r="G19" s="1" t="s">
        <v>9</v>
      </c>
      <c r="H19" s="1" t="s">
        <v>10</v>
      </c>
      <c r="I19" s="1" t="s">
        <v>11</v>
      </c>
      <c r="J19" s="1" t="s">
        <v>12</v>
      </c>
      <c r="K19" s="1" t="s">
        <v>13</v>
      </c>
      <c r="L19" s="1" t="s">
        <v>14</v>
      </c>
    </row>
    <row r="20" spans="1:12" ht="15.75">
      <c r="A20" s="1" t="s">
        <v>15</v>
      </c>
      <c r="B20" s="1">
        <f>+B5*(1+B2)</f>
        <v>780000000</v>
      </c>
      <c r="C20" s="1">
        <f t="shared" ref="C20" si="3">+B20*(1+B2)</f>
        <v>780000000</v>
      </c>
      <c r="D20" s="1">
        <f>+C20*(1+B2)</f>
        <v>780000000</v>
      </c>
      <c r="E20" s="1">
        <f>+D20*(1+B2)</f>
        <v>780000000</v>
      </c>
      <c r="G20" s="1">
        <f>+E20*(1+B2)</f>
        <v>780000000</v>
      </c>
      <c r="H20" s="1">
        <f>+G20*(1+B2)</f>
        <v>780000000</v>
      </c>
      <c r="I20" s="1">
        <f>+H20*(1+B2)</f>
        <v>780000000</v>
      </c>
      <c r="J20" s="1">
        <f>+I20*(1+B2)</f>
        <v>780000000</v>
      </c>
      <c r="K20" s="1">
        <f>+J20*(1+B2)</f>
        <v>780000000</v>
      </c>
      <c r="L20" s="1">
        <f>+K20*(1+B2)</f>
        <v>780000000</v>
      </c>
    </row>
    <row r="21" spans="1:12" ht="15.75">
      <c r="A21" s="1" t="s">
        <v>16</v>
      </c>
      <c r="B21" s="1">
        <f>+B6*(1+B3)</f>
        <v>450000000</v>
      </c>
      <c r="C21" s="1">
        <f>+B21*(1+B3)</f>
        <v>450000000</v>
      </c>
      <c r="D21" s="1">
        <f>+C21*(1+B3)</f>
        <v>450000000</v>
      </c>
      <c r="E21" s="1">
        <f>+D21*(1+B3)</f>
        <v>450000000</v>
      </c>
      <c r="G21" s="1">
        <f>+E21*(1+B3)</f>
        <v>450000000</v>
      </c>
      <c r="H21" s="1">
        <f>+G21*(1+B3)</f>
        <v>450000000</v>
      </c>
      <c r="I21" s="1">
        <f>+H21*(1+B3)</f>
        <v>450000000</v>
      </c>
      <c r="J21" s="1">
        <f>+I21*(1+B3)</f>
        <v>450000000</v>
      </c>
      <c r="K21" s="1">
        <f>+J21*(1+B3)</f>
        <v>450000000</v>
      </c>
      <c r="L21" s="1">
        <f>+K21*(1+B3)</f>
        <v>450000000</v>
      </c>
    </row>
    <row r="22" spans="1:12" ht="15.75">
      <c r="A22" s="1" t="s">
        <v>17</v>
      </c>
      <c r="B22" s="4">
        <f>+B20/B21</f>
        <v>1.7333333333333334</v>
      </c>
      <c r="C22" s="4">
        <f t="shared" ref="C22:L22" si="4">+C20/C21</f>
        <v>1.7333333333333334</v>
      </c>
      <c r="D22" s="4">
        <f t="shared" si="4"/>
        <v>1.7333333333333334</v>
      </c>
      <c r="E22" s="4">
        <f t="shared" si="4"/>
        <v>1.7333333333333334</v>
      </c>
      <c r="F22" s="4"/>
      <c r="G22" s="4">
        <f t="shared" si="4"/>
        <v>1.7333333333333334</v>
      </c>
      <c r="H22" s="4">
        <f t="shared" si="4"/>
        <v>1.7333333333333334</v>
      </c>
      <c r="I22" s="4">
        <f t="shared" si="4"/>
        <v>1.7333333333333334</v>
      </c>
      <c r="J22" s="4">
        <f t="shared" si="4"/>
        <v>1.7333333333333334</v>
      </c>
      <c r="K22" s="4">
        <f t="shared" si="4"/>
        <v>1.7333333333333334</v>
      </c>
      <c r="L22" s="4">
        <f t="shared" si="4"/>
        <v>1.7333333333333334</v>
      </c>
    </row>
    <row r="23" spans="1:12" ht="16.5" customHeight="1"/>
    <row r="24" spans="1:12" ht="15.75">
      <c r="A24" s="1" t="s">
        <v>18</v>
      </c>
    </row>
    <row r="25" spans="1:12" ht="15.75">
      <c r="A25" s="1" t="s">
        <v>19</v>
      </c>
      <c r="B25" s="5">
        <f>+B9+1</f>
        <v>1.1299999999999999</v>
      </c>
      <c r="C25" s="5">
        <f>+B25*(1+B9)</f>
        <v>1.2768999999999997</v>
      </c>
      <c r="D25" s="5">
        <f>+C25*(1+B9)</f>
        <v>1.4428969999999994</v>
      </c>
      <c r="E25" s="5">
        <f>+D25*(1+B9)</f>
        <v>1.6304736099999992</v>
      </c>
      <c r="F25" s="5"/>
      <c r="G25" s="5">
        <f>+E25*(1+B9)</f>
        <v>1.8424351792999989</v>
      </c>
      <c r="H25" s="5">
        <f>+G25*(1+B9)</f>
        <v>2.0819517526089983</v>
      </c>
      <c r="I25" s="5">
        <f>+H25*(1+B9)</f>
        <v>2.352605480448168</v>
      </c>
      <c r="J25" s="5">
        <f>+I25*(1+B9)</f>
        <v>2.6584441929064297</v>
      </c>
      <c r="K25" s="5">
        <f>+J25*(1+B9)</f>
        <v>3.0040419379842653</v>
      </c>
      <c r="L25" s="5">
        <f>+K25*(1+B9)</f>
        <v>3.3945673899222193</v>
      </c>
    </row>
    <row r="26" spans="1:12" ht="15.75">
      <c r="A26" s="1" t="s">
        <v>20</v>
      </c>
      <c r="B26" s="5">
        <f>+B10+1</f>
        <v>1.0900000000000001</v>
      </c>
      <c r="C26" s="5">
        <f>+B26*(1+B10)</f>
        <v>1.1881000000000002</v>
      </c>
      <c r="D26" s="5">
        <f>+C26*(1+B10)</f>
        <v>1.2950290000000002</v>
      </c>
      <c r="E26" s="5">
        <f>+D26*(1+B10)</f>
        <v>1.4115816100000003</v>
      </c>
      <c r="F26" s="5"/>
      <c r="G26" s="5">
        <f>+E26*(1+B10)</f>
        <v>1.5386239549000005</v>
      </c>
      <c r="H26" s="5">
        <f>+G26*(1+B10)</f>
        <v>1.6771001108410006</v>
      </c>
      <c r="I26" s="5">
        <f>+H26*(1+B10)</f>
        <v>1.8280391208166908</v>
      </c>
      <c r="J26" s="5">
        <f>+I26*(1+B10)</f>
        <v>1.9925626416901931</v>
      </c>
      <c r="K26" s="5">
        <f>+J26*(1+B10)</f>
        <v>2.1718932794423105</v>
      </c>
      <c r="L26" s="5">
        <f>+K26*(1+B10)</f>
        <v>2.3673636745921187</v>
      </c>
    </row>
    <row r="27" spans="1:12" ht="15.75">
      <c r="A27" s="1" t="s">
        <v>21</v>
      </c>
      <c r="B27" s="5">
        <f>+B11+1</f>
        <v>1.03</v>
      </c>
      <c r="C27" s="5">
        <f>+B27*(1+B11)</f>
        <v>1.0609</v>
      </c>
      <c r="D27" s="5">
        <f>+C27*(1+B11)</f>
        <v>1.092727</v>
      </c>
      <c r="E27" s="5">
        <f>+D27*(1+B11)</f>
        <v>1.1255088100000001</v>
      </c>
      <c r="F27" s="5"/>
      <c r="G27" s="5">
        <f>+E27*(1+B11)</f>
        <v>1.1592740743000001</v>
      </c>
      <c r="H27" s="5">
        <f>+G27*(1+B11)</f>
        <v>1.1940522965290001</v>
      </c>
      <c r="I27" s="5">
        <f>+H27*(1+B11)</f>
        <v>1.2298738654248702</v>
      </c>
      <c r="J27" s="5">
        <f>+I27*(1+B11)</f>
        <v>1.2667700813876164</v>
      </c>
      <c r="K27" s="5">
        <f>+J27*(1+B11)</f>
        <v>1.3047731838292449</v>
      </c>
      <c r="L27" s="5">
        <f>+K27*(1+B11)</f>
        <v>1.3439163793441222</v>
      </c>
    </row>
    <row r="28" spans="1:12" ht="16.5" customHeight="1"/>
    <row r="29" spans="1:12" ht="15.75">
      <c r="A29" s="1" t="s">
        <v>43</v>
      </c>
    </row>
    <row r="30" spans="1:12" ht="15.75">
      <c r="A30" s="1" t="s">
        <v>22</v>
      </c>
      <c r="B30" s="4">
        <f>+L22*B8</f>
        <v>26</v>
      </c>
    </row>
    <row r="31" spans="1:12" ht="15.75">
      <c r="A31" s="8" t="s">
        <v>39</v>
      </c>
      <c r="B31" s="9">
        <f>+B30/L25</f>
        <v>7.6592970512792631</v>
      </c>
    </row>
    <row r="32" spans="1:12" ht="15.75">
      <c r="A32" s="8" t="s">
        <v>40</v>
      </c>
      <c r="B32" s="9">
        <f>+B30/L26</f>
        <v>10.982680979287911</v>
      </c>
    </row>
    <row r="33" spans="1:13" ht="15.75">
      <c r="A33" s="8" t="s">
        <v>41</v>
      </c>
      <c r="B33" s="9">
        <f>+B30/L27</f>
        <v>19.346441787314848</v>
      </c>
    </row>
    <row r="34" spans="1:13">
      <c r="B34" s="4"/>
    </row>
    <row r="35" spans="1:13" ht="15.75">
      <c r="A35" s="1" t="s">
        <v>23</v>
      </c>
      <c r="B35" s="4"/>
      <c r="M35" s="1" t="s">
        <v>24</v>
      </c>
    </row>
    <row r="36" spans="1:13" ht="15.75">
      <c r="A36" s="1" t="s">
        <v>19</v>
      </c>
      <c r="B36" s="4">
        <f>+(B22*B4)/B25</f>
        <v>1.1639970305696943</v>
      </c>
      <c r="C36" s="4">
        <f>+(B22*B4)/C25</f>
        <v>1.0300858677607914</v>
      </c>
      <c r="D36" s="4">
        <f>+(B22*B4)/D25</f>
        <v>0.91158041394760325</v>
      </c>
      <c r="E36" s="4">
        <f>+(B22*B4)/E25</f>
        <v>0.8067083309270825</v>
      </c>
      <c r="F36" s="4"/>
      <c r="G36" s="4">
        <f>+(B22*B4)/G25</f>
        <v>0.71390117781157758</v>
      </c>
      <c r="H36" s="4">
        <f>+(B22*B4)/H25</f>
        <v>0.63177095381555548</v>
      </c>
      <c r="I36" s="4">
        <f>+(B22*B4)/I25</f>
        <v>0.55908933965978369</v>
      </c>
      <c r="J36" s="4">
        <f>+(B22*B4)/J25</f>
        <v>0.49476932713255189</v>
      </c>
      <c r="K36" s="4">
        <f>+(B22*B4)/K25</f>
        <v>0.43784896206420526</v>
      </c>
      <c r="L36" s="4">
        <f>+(B22*B4)/L25</f>
        <v>0.38747695757894279</v>
      </c>
      <c r="M36" s="4">
        <f>SUM(B36:L36)</f>
        <v>7.1372283612677885</v>
      </c>
    </row>
    <row r="37" spans="1:13" ht="15.75">
      <c r="A37" s="1" t="s">
        <v>20</v>
      </c>
      <c r="B37" s="4">
        <f>+(B22*B4)/B26</f>
        <v>1.2067125179300497</v>
      </c>
      <c r="C37" s="4">
        <f>+(B22*B4)/C26</f>
        <v>1.1070757045229813</v>
      </c>
      <c r="D37" s="4">
        <f>+(B22*B4)/D26</f>
        <v>1.0156657839660379</v>
      </c>
      <c r="E37" s="4">
        <f>+(B22*B4)/E26</f>
        <v>0.93180347152847509</v>
      </c>
      <c r="F37" s="4"/>
      <c r="G37" s="4">
        <f>+(B22*B4)/G26</f>
        <v>0.85486557020961007</v>
      </c>
      <c r="H37" s="4">
        <f>+(B22*B4)/H26</f>
        <v>0.78428033964184407</v>
      </c>
      <c r="I37" s="4">
        <f>+(B22*B4)/I26</f>
        <v>0.71952324737783857</v>
      </c>
      <c r="J37" s="4">
        <f>+(B22*B4)/J26</f>
        <v>0.66011307098884264</v>
      </c>
      <c r="K37" s="4">
        <f>+(B22*B4)/K26</f>
        <v>0.60560832200811254</v>
      </c>
      <c r="L37" s="4">
        <f>+(B22*B4)/L26</f>
        <v>0.55560396514505728</v>
      </c>
      <c r="M37" s="4">
        <f>SUM(B37:L37)</f>
        <v>8.4412519933188506</v>
      </c>
    </row>
    <row r="38" spans="1:13" ht="15.75">
      <c r="A38" s="1" t="s">
        <v>21</v>
      </c>
      <c r="B38" s="4">
        <f>+(B22*B4)/B27</f>
        <v>1.2770064510133536</v>
      </c>
      <c r="C38" s="4">
        <f>+(B22*B4)/C27</f>
        <v>1.2398120883624795</v>
      </c>
      <c r="D38" s="4">
        <f>+(B22*B4)/D27</f>
        <v>1.2037010566626012</v>
      </c>
      <c r="E38" s="4">
        <f>+(B22*B4)/E27</f>
        <v>1.1686418025850496</v>
      </c>
      <c r="F38" s="4"/>
      <c r="G38" s="4">
        <f>+(B22*B4)/G27</f>
        <v>1.1346036918301454</v>
      </c>
      <c r="H38" s="4">
        <f>+(B22*B4)/H27</f>
        <v>1.1015569823593643</v>
      </c>
      <c r="I38" s="4">
        <f>+(B22*B4)/I27</f>
        <v>1.0694727984071497</v>
      </c>
      <c r="J38" s="4">
        <f>+(B22*B4)/J27</f>
        <v>1.03832310524966</v>
      </c>
      <c r="K38" s="4">
        <f>+(B22*B4)/K27</f>
        <v>1.0080806847084076</v>
      </c>
      <c r="L38" s="4">
        <f>+(B22*B4)/L27</f>
        <v>0.9787191113673861</v>
      </c>
      <c r="M38" s="4">
        <f>SUM(B38:L38)</f>
        <v>11.219917772545596</v>
      </c>
    </row>
    <row r="39" spans="1:13" ht="16.5" customHeight="1"/>
    <row r="40" spans="1:13" ht="15.75">
      <c r="A40" s="1" t="s">
        <v>25</v>
      </c>
    </row>
    <row r="41" spans="1:13" ht="15.75">
      <c r="A41" s="8" t="s">
        <v>39</v>
      </c>
      <c r="B41" s="10">
        <f>+B31+M36</f>
        <v>14.796525412547052</v>
      </c>
    </row>
    <row r="42" spans="1:13" ht="15.75">
      <c r="A42" s="8" t="s">
        <v>40</v>
      </c>
      <c r="B42" s="10">
        <f t="shared" ref="B42:B43" si="5">+B32+M37</f>
        <v>19.423932972606764</v>
      </c>
    </row>
    <row r="43" spans="1:13" ht="15.75">
      <c r="A43" s="8" t="s">
        <v>41</v>
      </c>
      <c r="B43" s="10">
        <f t="shared" si="5"/>
        <v>30.566359559860445</v>
      </c>
    </row>
    <row r="44" spans="1:13" ht="15">
      <c r="A44" s="6"/>
    </row>
    <row r="45" spans="1:13" ht="15.75">
      <c r="A45" s="1" t="s">
        <v>26</v>
      </c>
    </row>
    <row r="46" spans="1:13" ht="16.5" customHeight="1"/>
    <row r="47" spans="1:13" ht="16.5" customHeight="1"/>
  </sheetData>
  <mergeCells count="1">
    <mergeCell ref="A18:L1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work</vt:lpstr>
      <vt:lpstr>Temp1</vt:lpstr>
      <vt:lpstr>Temp2</vt:lpstr>
      <vt:lpstr>Temp3</vt:lpstr>
      <vt:lpstr>Temp4</vt:lpstr>
      <vt:lpstr>Template</vt:lpstr>
      <vt:lpstr>Temp3!zc3a_4137.djhtm</vt:lpstr>
      <vt:lpstr>Temp1!zca_4137.djhtm</vt:lpstr>
      <vt:lpstr>Temp4!zcc_4137.djhtm</vt:lpstr>
      <vt:lpstr>Temp2!zcqa_4137.djhtm</vt:lpstr>
    </vt:vector>
  </TitlesOfParts>
  <Company>Cite Media Holding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劉萍</dc:creator>
  <cp:lastModifiedBy>txhome</cp:lastModifiedBy>
  <dcterms:created xsi:type="dcterms:W3CDTF">2018-07-20T03:58:03Z</dcterms:created>
  <dcterms:modified xsi:type="dcterms:W3CDTF">2019-08-29T22:24:48Z</dcterms:modified>
</cp:coreProperties>
</file>